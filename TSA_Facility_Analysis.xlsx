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ographics" sheetId="1" state="visible" r:id="rId3"/>
    <sheet name="Demand Analysis" sheetId="2" state="visible" r:id="rId4"/>
    <sheet name="ROI Model" sheetId="3" state="visible" r:id="rId5"/>
    <sheet name="Tier Reclassifications" sheetId="4" state="visible" r:id="rId6"/>
    <sheet name="Tuition Strategy" sheetId="5" state="visible" r:id="rId7"/>
    <sheet name="Executive Summary (Updated)" sheetId="6" state="visible" r:id="rId8"/>
    <sheet name="Executive Summary" sheetId="7" state="visible" r:id="rId9"/>
    <sheet name="Property Analysis" sheetId="8" state="visible" r:id="rId10"/>
    <sheet name="Sports Viability" sheetId="9" state="visible" r:id="rId11"/>
    <sheet name="Rehab Plans &amp; Costs" sheetId="10" state="visible" r:id="rId12"/>
    <sheet name="Top Picks - Detailed" sheetId="11" state="visible" r:id="rId13"/>
    <sheet name="Not Viable" sheetId="12" state="visible" r:id="rId14"/>
  </sheets>
  <definedNames>
    <definedName function="false" hidden="true" localSheetId="7" name="_xlnm._FilterDatabase" vbProcedure="false">'Property Analysis'!$A$1:$O$46</definedName>
    <definedName function="false" hidden="true" localSheetId="9" name="_xlnm._FilterDatabase" vbProcedure="false">'Rehab Plans &amp; Costs'!$A$1:$H$46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<sst xmlns="http://schemas.openxmlformats.org/spreadsheetml/2006/main" count="2362" uniqueCount="732">
  <si>
    <t xml:space="preserve">Demographic &amp; Enrollment Score Data</t>
  </si>
  <si>
    <t xml:space="preserve">Enrollment scores (ES) = kids enrolled at similarly-priced private schools nearby. Capture rate assumption: 10%. Wealth score = kids from households at/above $100K AGI.</t>
  </si>
  <si>
    <t xml:space="preserve">School Name</t>
  </si>
  <si>
    <t xml:space="preserve">District</t>
  </si>
  <si>
    <t xml:space="preserve">Tier (Updated)</t>
  </si>
  <si>
    <t xml:space="preserve">Tier Changed?</t>
  </si>
  <si>
    <t xml:space="preserve">ES Free Tuition</t>
  </si>
  <si>
    <t xml:space="preserve">ES $10K Tuition</t>
  </si>
  <si>
    <t xml:space="preserve">ES $15K Tuition</t>
  </si>
  <si>
    <t xml:space="preserve">ES $20K Tuition</t>
  </si>
  <si>
    <t xml:space="preserve">ES $25K Tuition</t>
  </si>
  <si>
    <t xml:space="preserve">Wealth Score (100K AGI)</t>
  </si>
  <si>
    <t xml:space="preserve">Raw Kids 5-17</t>
  </si>
  <si>
    <t xml:space="preserve">Demand Score</t>
  </si>
  <si>
    <t xml:space="preserve">Middle College High School At Hcc Gulfton</t>
  </si>
  <si>
    <t xml:space="preserve">HISD</t>
  </si>
  <si>
    <t xml:space="preserve">Tier 2 - Good</t>
  </si>
  <si>
    <t xml:space="preserve">YES</t>
  </si>
  <si>
    <t xml:space="preserve">Gulfton Middle College (Middle College HS at HCC Gulfton)</t>
  </si>
  <si>
    <t xml:space="preserve">Maplewood Elementary School</t>
  </si>
  <si>
    <t xml:space="preserve">AISD</t>
  </si>
  <si>
    <t xml:space="preserve">Tier 1 - Excellent</t>
  </si>
  <si>
    <t xml:space="preserve">Reilly Elementary School</t>
  </si>
  <si>
    <t xml:space="preserve">Ridgetop Elementary School</t>
  </si>
  <si>
    <t xml:space="preserve">Grimes Elementary School</t>
  </si>
  <si>
    <t xml:space="preserve">Rhoads Elementary School</t>
  </si>
  <si>
    <t xml:space="preserve">Dawson Elementary School</t>
  </si>
  <si>
    <t xml:space="preserve">Las Americas | 6501</t>
  </si>
  <si>
    <t xml:space="preserve">Burrus Elementary School</t>
  </si>
  <si>
    <t xml:space="preserve">Oak Springs Elementary School</t>
  </si>
  <si>
    <t xml:space="preserve">Barrington Elementary School</t>
  </si>
  <si>
    <t xml:space="preserve">Sunset Valley Elementary School</t>
  </si>
  <si>
    <t xml:space="preserve">Sims Elementary School</t>
  </si>
  <si>
    <t xml:space="preserve">Tier 4 - Uncertain</t>
  </si>
  <si>
    <t xml:space="preserve">Brooke Elementary School</t>
  </si>
  <si>
    <t xml:space="preserve">Winn Montessori School</t>
  </si>
  <si>
    <t xml:space="preserve">Webb Middle School</t>
  </si>
  <si>
    <t xml:space="preserve">Cage Elementary School</t>
  </si>
  <si>
    <t xml:space="preserve">Tier 3 - Possible</t>
  </si>
  <si>
    <t xml:space="preserve">Dobie Middle School</t>
  </si>
  <si>
    <t xml:space="preserve">Franklin Elementary (former site)</t>
  </si>
  <si>
    <t xml:space="preserve">Hobby Elementary School</t>
  </si>
  <si>
    <t xml:space="preserve">Becker Elementary School</t>
  </si>
  <si>
    <t xml:space="preserve">Mading Elementary School</t>
  </si>
  <si>
    <t xml:space="preserve">Alcott Elementary School</t>
  </si>
  <si>
    <t xml:space="preserve">Martin Middle School</t>
  </si>
  <si>
    <t xml:space="preserve">Stevens Elementary School (Lulu M. Stevens Elementary)</t>
  </si>
  <si>
    <t xml:space="preserve">Bedichek Middle School</t>
  </si>
  <si>
    <t xml:space="preserve">Widen Elementary School</t>
  </si>
  <si>
    <t xml:space="preserve">Briscoe Elementary School</t>
  </si>
  <si>
    <t xml:space="preserve">McDade Elementary School</t>
  </si>
  <si>
    <t xml:space="preserve">Kennedy Elementary School</t>
  </si>
  <si>
    <t xml:space="preserve">Franklin Elementary School</t>
  </si>
  <si>
    <t xml:space="preserve">McReynolds Middle School</t>
  </si>
  <si>
    <t xml:space="preserve">Fleming Middle School</t>
  </si>
  <si>
    <t xml:space="preserve">Ross Elementary School</t>
  </si>
  <si>
    <t xml:space="preserve">Port Houston Elementary School</t>
  </si>
  <si>
    <t xml:space="preserve">Palm Elementary School</t>
  </si>
  <si>
    <t xml:space="preserve">Enrollment Demand Analysis by Tuition Level</t>
  </si>
  <si>
    <t xml:space="preserve">Estimated students = ES score x 10% capture rate. Practical fill = min(building capacity, estimated students). ESA scenario assumes $10K ESA makes $25K tuition feel like $15K to families.</t>
  </si>
  <si>
    <t xml:space="preserve">Tier</t>
  </si>
  <si>
    <t xml:space="preserve">Building (sqft)</t>
  </si>
  <si>
    <t xml:space="preserve">Building Capacity</t>
  </si>
  <si>
    <t xml:space="preserve">Est. Students
(Free)</t>
  </si>
  <si>
    <t xml:space="preserve">Est. Students
($10K)</t>
  </si>
  <si>
    <t xml:space="preserve">Est. Students
($15K)</t>
  </si>
  <si>
    <t xml:space="preserve">Est. Students
($20K)</t>
  </si>
  <si>
    <t xml:space="preserve">Est. Students
($25K)</t>
  </si>
  <si>
    <t xml:space="preserve">Practical Fill
($25K)</t>
  </si>
  <si>
    <t xml:space="preserve">Practical Fill
($25K w/ ESA)</t>
  </si>
  <si>
    <t xml:space="preserve">Fill Rate
($25K w/ ESA)</t>
  </si>
  <si>
    <t xml:space="preserve">Return on Investment Model - Tuition Scenario Analysis</t>
  </si>
  <si>
    <t xml:space="preserve">Payback = rehab cost (mid) / annual tuition revenue. 5yr ROI = (5yr revenue - rehab cost) / rehab cost. ESA scenario: $10K ESA voucher makes $25K tuition feel like $15K to families, expanding demand pool.</t>
  </si>
  <si>
    <t xml:space="preserve">Scenario A: $25K Tuition</t>
  </si>
  <si>
    <t xml:space="preserve">Scenario B: $25K + $10K ESA</t>
  </si>
  <si>
    <t xml:space="preserve">Scenario C: $15K Tuition</t>
  </si>
  <si>
    <t xml:space="preserve">Scenario D: $10K (Fully ESA-Covered)</t>
  </si>
  <si>
    <t xml:space="preserve">Rehab Low</t>
  </si>
  <si>
    <t xml:space="preserve">Rehab Mid</t>
  </si>
  <si>
    <t xml:space="preserve">Rehab High</t>
  </si>
  <si>
    <t xml:space="preserve">Students
($25K)</t>
  </si>
  <si>
    <t xml:space="preserve">Revenue
($25K)</t>
  </si>
  <si>
    <t xml:space="preserve">Payback
($25K)</t>
  </si>
  <si>
    <t xml:space="preserve">Students
($25K+ESA)</t>
  </si>
  <si>
    <t xml:space="preserve">Revenue
($25K+ESA)</t>
  </si>
  <si>
    <t xml:space="preserve">Payback
($25K+ESA)</t>
  </si>
  <si>
    <t xml:space="preserve">5yr ROI
($25K+ESA)</t>
  </si>
  <si>
    <t xml:space="preserve">Students
($15K)</t>
  </si>
  <si>
    <t xml:space="preserve">Revenue
($15K)</t>
  </si>
  <si>
    <t xml:space="preserve">Payback
($15K)</t>
  </si>
  <si>
    <t xml:space="preserve">Students
($10K ESA)</t>
  </si>
  <si>
    <t xml:space="preserve">Revenue
($10K ESA)</t>
  </si>
  <si>
    <t xml:space="preserve">Payback
($10K ESA)</t>
  </si>
  <si>
    <t xml:space="preserve">N/A</t>
  </si>
  <si>
    <t xml:space="preserve">Tier Reclassifications Based on Demographics</t>
  </si>
  <si>
    <t xml:space="preserve">7 schools reclassified. Upgrades driven by strong enrollment/wealth scores; downgrades by weak demand relative to facility tier.</t>
  </si>
  <si>
    <t xml:space="preserve">Original Tier</t>
  </si>
  <si>
    <t xml:space="preserve">New Tier</t>
  </si>
  <si>
    <t xml:space="preserve">Direction</t>
  </si>
  <si>
    <t xml:space="preserve">Reason</t>
  </si>
  <si>
    <t xml:space="preserve">DOWNGRADE</t>
  </si>
  <si>
    <t xml:space="preserve">Downgraded: very weak demand (score 10, es_25k=433)</t>
  </si>
  <si>
    <t xml:space="preserve">UPGRADE</t>
  </si>
  <si>
    <t xml:space="preserve">Upgraded: exceptional demand (score 62, es_25k=3375, ws=43021)</t>
  </si>
  <si>
    <t xml:space="preserve">Upgraded: exceptional demand (score 63, es_25k=4237, ws=39214)</t>
  </si>
  <si>
    <t xml:space="preserve">Upgraded: strong demand (score 63, es_25k=4285)</t>
  </si>
  <si>
    <t xml:space="preserve">Upgraded: strong demand (score 74, es_25k=6187)</t>
  </si>
  <si>
    <t xml:space="preserve">Upgraded: strong demand (score 54, es_25k=11248)</t>
  </si>
  <si>
    <t xml:space="preserve">Upgraded: strong demand (score 100, es_25k=13057)</t>
  </si>
  <si>
    <t xml:space="preserve">Reclassification Methodology</t>
  </si>
  <si>
    <t xml:space="preserve">1. Demand Score calculated: 40% enrollment score at $25K + 30% wealth score + 30% capacity utilization ratio</t>
  </si>
  <si>
    <t xml:space="preserve">2. Properties in top quartile of demand score considered for upgrade if enrollment scores support it</t>
  </si>
  <si>
    <t xml:space="preserve">3. Properties in bottom quartile considered for downgrade if enrollment scores are weak</t>
  </si>
  <si>
    <t xml:space="preserve">4. Upgrade from Tier 3-&gt;2 requires ES $25K &gt; 2,000 kids nearby</t>
  </si>
  <si>
    <t xml:space="preserve">5. Upgrade from Tier 2-&gt;1 requires ES $25K &gt; 3,000 AND wealth score &gt; 35,000</t>
  </si>
  <si>
    <t xml:space="preserve">6. Downgrade from Tier 2-&gt;3 triggered when ES $25K &lt; 1,000</t>
  </si>
  <si>
    <t xml:space="preserve">7. Downgrade from Tier 1-&gt;2 triggered when ES $25K &lt; 1,500</t>
  </si>
  <si>
    <t xml:space="preserve">8. Texas ESA ($10K/student) significantly expands addressable market at each location</t>
  </si>
  <si>
    <t xml:space="preserve">Optimal Tuition &amp; Fill Strategy per Property</t>
  </si>
  <si>
    <t xml:space="preserve">For each school, shows the tuition level that fills the building to capacity and maximizes revenue. "Sweet spot" balances enrollment demand against revenue per student.</t>
  </si>
  <si>
    <t xml:space="preserve">Capacity</t>
  </si>
  <si>
    <t xml:space="preserve">Best Tuition
to Fill</t>
  </si>
  <si>
    <t xml:space="preserve">Students
at Best Fill</t>
  </si>
  <si>
    <t xml:space="preserve">Fill Rate</t>
  </si>
  <si>
    <t xml:space="preserve">Annual Revenue
at Best Fill</t>
  </si>
  <si>
    <t xml:space="preserve">Rehab Cost (Mid)</t>
  </si>
  <si>
    <t xml:space="preserve">Payback (Years)</t>
  </si>
  <si>
    <t xml:space="preserve">$25K (with $10K ESA)</t>
  </si>
  <si>
    <t xml:space="preserve">$25K (full price)</t>
  </si>
  <si>
    <t xml:space="preserve">TSA Facility Analysis - Updated Executive Summary</t>
  </si>
  <si>
    <t xml:space="preserve">Updated March 04, 2026 — Now includes demographic demand analysis, enrollment projections, ESA impact modeling, and ROI calculations</t>
  </si>
  <si>
    <t xml:space="preserve">Updated Tier Distribution</t>
  </si>
  <si>
    <t xml:space="preserve">properties</t>
  </si>
  <si>
    <t xml:space="preserve">Not Viable</t>
  </si>
  <si>
    <t xml:space="preserve">Tier Reclassifications: 7 Changes</t>
  </si>
  <si>
    <t xml:space="preserve">Upgrades (6): Rhoads Elementary School (Tier 2 - Good → Tier 1 - Excellent), Ridgetop Elementary School (Tier 2 - Good → Tier 1 - Excellent), Reilly Elementary School (Tier 3 - Possible → Tier 2 - Good), Gulfton Middle College (Middle College HS at HCC Gulfton) (Tier 3 - Possible → Tier 2 - Good), Las Americas | 6501 (Tier 3 - Possible → Tier 2 - Good), Middle College High School At Hcc Gulfton (Tier 3 - Possible → Tier 2 - Good)</t>
  </si>
  <si>
    <t xml:space="preserve">Downgrades (1): Palm Elementary School (Tier 2 - Good → Tier 3 - Possible)</t>
  </si>
  <si>
    <t xml:space="preserve">Texas ESA Impact on TSA Model</t>
  </si>
  <si>
    <t xml:space="preserve">• Texas SB 2 (signed May 2025) provides ~$10,300/student/year in ESA vouchers.</t>
  </si>
  <si>
    <t xml:space="preserve">• At $25K tuition, the ESA effectively reduces family out-of-pocket to ~$15K — significantly expanding the addressable market.</t>
  </si>
  <si>
    <t xml:space="preserve">• Across all viable sites, the ESA scenario increases average estimated enrollment by 16% vs. full-price $25K demand.</t>
  </si>
  <si>
    <t xml:space="preserve">• Best scenario for most properties: $25K tuition with ESA subsidy — maximizes per-student revenue while dramatically improving fill rates.</t>
  </si>
  <si>
    <t xml:space="preserve">• If tuition were set at $10K (fully ESA-covered), demand would be highest but revenue per student drops 60%.</t>
  </si>
  <si>
    <t xml:space="preserve">Top 5 Properties by ROI ($25K + ESA Scenario)</t>
  </si>
  <si>
    <t xml:space="preserve">School</t>
  </si>
  <si>
    <t xml:space="preserve">Students</t>
  </si>
  <si>
    <t xml:space="preserve">Annual Revenue</t>
  </si>
  <si>
    <t xml:space="preserve">Rehab Cost</t>
  </si>
  <si>
    <t xml:space="preserve">Payback (Yrs)</t>
  </si>
  <si>
    <t xml:space="preserve">5yr ROI</t>
  </si>
  <si>
    <t xml:space="preserve">Strategic Recommendation</t>
  </si>
  <si>
    <t xml:space="preserve">• OPTIMAL STRATEGY: Charge $25K tuition (matching TSA model) and market the $10K ESA as a $10K discount. Family out-of-pocket: ~$15K.</t>
  </si>
  <si>
    <t xml:space="preserve">• This strategy maximizes revenue per student while leveraging ESA demand expansion — payback under 1.5 years for top properties.</t>
  </si>
  <si>
    <t xml:space="preserve">• TOP PICKS: Dawson ES (0.8yr payback, 535% 5yr ROI), Maplewood ES (0.8yr, 522%), Reilly ES (1.0yr, 385%), Burrus ES (1.1yr, 344%).</t>
  </si>
  <si>
    <t xml:space="preserve">• NEWLY UPGRADED: Rhoads ES and Ridgetop ES moved to Tier 1 based on exceptional demand — both worth serious consideration.</t>
  </si>
  <si>
    <t xml:space="preserve">• HOUSTON STANDOUT: Middle College HS at HCC Gulfton has the highest demand score (100) — 655 capacity, $16.4M annual revenue potential.</t>
  </si>
  <si>
    <t xml:space="preserve">• CAUTION: Palm ES downgraded to Tier 3 due to extremely weak enrollment demand (es_25k of only 433) despite good physical attributes.</t>
  </si>
  <si>
    <t xml:space="preserve">Texas Sports Academy — Facility Viability Analysis</t>
  </si>
  <si>
    <t xml:space="preserve">Analysis of 45 Closed/Closing AISD &amp; HISD School Properties | March 2026</t>
  </si>
  <si>
    <t xml:space="preserve">VIABILITY OVERVIEW</t>
  </si>
  <si>
    <t xml:space="preserve">Total Properties Analyzed</t>
  </si>
  <si>
    <t xml:space="preserve">AISD Properties</t>
  </si>
  <si>
    <t xml:space="preserve">HISD Properties</t>
  </si>
  <si>
    <t xml:space="preserve">Tier 1 — Excellent</t>
  </si>
  <si>
    <t xml:space="preserve">Tier 2 — Good</t>
  </si>
  <si>
    <t xml:space="preserve">Tier 3 — Possible</t>
  </si>
  <si>
    <t xml:space="preserve">Tier 4 — Uncertain</t>
  </si>
  <si>
    <t xml:space="preserve">COST OVERVIEW</t>
  </si>
  <si>
    <t xml:space="preserve">Low Estimate</t>
  </si>
  <si>
    <t xml:space="preserve">High Estimate</t>
  </si>
  <si>
    <t xml:space="preserve">Avg per Property</t>
  </si>
  <si>
    <t xml:space="preserve">Tier 1 Properties (8)</t>
  </si>
  <si>
    <t xml:space="preserve">$45.4M</t>
  </si>
  <si>
    <t xml:space="preserve">$158.1M</t>
  </si>
  <si>
    <t xml:space="preserve">$5.7M - $19.8M</t>
  </si>
  <si>
    <t xml:space="preserve">Tier 2 Properties (7)</t>
  </si>
  <si>
    <t xml:space="preserve">$45.2M</t>
  </si>
  <si>
    <t xml:space="preserve">$156.1M</t>
  </si>
  <si>
    <t xml:space="preserve">$7.5M - $26.0M</t>
  </si>
  <si>
    <t xml:space="preserve">All Viable (with estimates)</t>
  </si>
  <si>
    <t xml:space="preserve">$126.9M</t>
  </si>
  <si>
    <t xml:space="preserve">$438.1M</t>
  </si>
  <si>
    <t xml:space="preserve">$6.3M - $21.9M</t>
  </si>
  <si>
    <t xml:space="preserve">CONVERSION COST BENCHMARKS (School → Sports Academy, Texas 2026)</t>
  </si>
  <si>
    <t xml:space="preserve">Building Size</t>
  </si>
  <si>
    <t xml:space="preserve">Sq Ft Range</t>
  </si>
  <si>
    <t xml:space="preserve">Per Sq Ft (Low)</t>
  </si>
  <si>
    <t xml:space="preserve">Per Sq Ft (High)</t>
  </si>
  <si>
    <t xml:space="preserve">Small</t>
  </si>
  <si>
    <t xml:space="preserve">&lt;30,000 SF</t>
  </si>
  <si>
    <t xml:space="preserve">$1.7M</t>
  </si>
  <si>
    <t xml:space="preserve">$5.5M</t>
  </si>
  <si>
    <t xml:space="preserve">~$85</t>
  </si>
  <si>
    <t xml:space="preserve">~$275</t>
  </si>
  <si>
    <t xml:space="preserve">Medium</t>
  </si>
  <si>
    <t xml:space="preserve">30,000–60,000 SF</t>
  </si>
  <si>
    <t xml:space="preserve">$3.9M</t>
  </si>
  <si>
    <t xml:space="preserve">$12.7M</t>
  </si>
  <si>
    <t xml:space="preserve">~$87</t>
  </si>
  <si>
    <t xml:space="preserve">~$282</t>
  </si>
  <si>
    <t xml:space="preserve">Large</t>
  </si>
  <si>
    <t xml:space="preserve">60,000+ SF</t>
  </si>
  <si>
    <t xml:space="preserve">$8.4M</t>
  </si>
  <si>
    <t xml:space="preserve">$28.6M</t>
  </si>
  <si>
    <t xml:space="preserve">~$105</t>
  </si>
  <si>
    <t xml:space="preserve">~$357</t>
  </si>
  <si>
    <t xml:space="preserve">KEY FINDINGS</t>
  </si>
  <si>
    <t xml:space="preserve">• 8 properties are Tier 1 (Excellent) — they have gyms, 5+ acres, 30K+ sq ft, and are confirmed closing/surplus.</t>
  </si>
  <si>
    <t xml:space="preserve">• 7 properties are Tier 2 (Good) — strong facilities but may lack confirmed gym or have slightly less outdoor space.</t>
  </si>
  <si>
    <t xml:space="preserve">• The best single property is Bedichek Middle School (AISD): 134K sq ft on 23 acres with full gym — ideal for a multi-sport flagship campus.</t>
  </si>
  <si>
    <t xml:space="preserve">• Grimes Elementary (HISD) at 16.4 acres is the best Houston option — already vacant surplus property with off-market listing.</t>
  </si>
  <si>
    <t xml:space="preserve">• 8 properties are NOT viable: 5 are still active schools, 3 are already sold/repurposed or have addresses that don't match school sites.</t>
  </si>
  <si>
    <t xml:space="preserve">• Former school sites already zoned for educational use — private school operation typically does not require a zoning change, only a new Certificate of Occupancy.</t>
  </si>
  <si>
    <t xml:space="preserve">• Texas HB 2 (2025) provides automatic zoning relief for charter schools but NOT private schools like TSA. TSA would need standard local permits.</t>
  </si>
  <si>
    <t xml:space="preserve">• TSA's franchise model (sport-specific campuses) means each property only needs to support 1-2 primary sports, reducing conversion costs.</t>
  </si>
  <si>
    <t xml:space="preserve">Sources: AISD Bond/Surplus Property Data, HISD Closure Reports, Travis/Harris County Appraisal Districts, Zillow, LoopNet, local news (KXAN, ABC13, Fox26). Generated March 4, 2026.</t>
  </si>
  <si>
    <t xml:space="preserve">Viability Tier</t>
  </si>
  <si>
    <t xml:space="preserve">Address</t>
  </si>
  <si>
    <t xml:space="preserve">Building Sq Ft</t>
  </si>
  <si>
    <t xml:space="preserve">Lot (Acres)</t>
  </si>
  <si>
    <t xml:space="preserve">Year Built</t>
  </si>
  <si>
    <t xml:space="preserve">Has Gym</t>
  </si>
  <si>
    <t xml:space="preserve">Outdoor Space</t>
  </si>
  <si>
    <t xml:space="preserve">Current Status</t>
  </si>
  <si>
    <t xml:space="preserve">Building Condition</t>
  </si>
  <si>
    <t xml:space="preserve">Neighborhood</t>
  </si>
  <si>
    <t xml:space="preserve">Known Issues</t>
  </si>
  <si>
    <t xml:space="preserve">Listing/Sale Price</t>
  </si>
  <si>
    <t xml:space="preserve">6800 Bill Hughes Road, Austin, TX 78745</t>
  </si>
  <si>
    <t xml:space="preserve">1972</t>
  </si>
  <si>
    <t xml:space="preserve">Yes</t>
  </si>
  <si>
    <t xml:space="preserve">Excellent (10+ ac)</t>
  </si>
  <si>
    <t xml:space="preserve">Austin ISD-owned; school closing end of 2025-26 SY; main building repurposed for district offices/pr</t>
  </si>
  <si>
    <t xml:space="preserve">Older facility (1972) needing improvements (per AISD bond: crawl space drainage,</t>
  </si>
  <si>
    <t xml:space="preserve">Residential (single-family homes, parks, trails); South Austin 78745 area</t>
  </si>
  <si>
    <t xml:space="preserve">None specifically identified; typical older school issues (proposed bond improve</t>
  </si>
  <si>
    <t xml:space="preserve">Not listed/sold; surplus land under evaluation (no price)</t>
  </si>
  <si>
    <t xml:space="preserve">9220 Jutland Rd, Houston, TX 77033</t>
  </si>
  <si>
    <t xml:space="preserve">1959 [LoopNet](https://www.loopnet.com/Listing/9220-Jutland-Rd-Houston-TX/37565205/)</t>
  </si>
  <si>
    <t xml:space="preserve">Vacant HISD surplus property (Grimes Facility); off-market listing; proposed for sale [Texas Scoreca</t>
  </si>
  <si>
    <t xml:space="preserve">Aging (built 1959), vacant 14+ years; potential deferred maintenance (unconfirme</t>
  </si>
  <si>
    <t xml:space="preserve">Predominantly residential, historic Black (Sunnyside); single-family homes, some</t>
  </si>
  <si>
    <t xml:space="preserve">High-crime area; aging/vacant (possible asbestos/flood/environmental); no specif</t>
  </si>
  <si>
    <t xml:space="preserve">No current price (off-market); no recent sale found</t>
  </si>
  <si>
    <t xml:space="preserve">400 Cooper Drive, Austin, TX 78753</t>
  </si>
  <si>
    <t xml:space="preserve">1969 (additions 1999, 2010); TCAD effective 1990 [Austin ISD ESA Report](https://www.austinisd.org/sites/default/files/dept/plans-lrp/doc/esa-reports/ESA_Report_Barrington_ES_Redacted.pdf) [Zabalist](https://www.zabalist.com/site-plans/13397376)</t>
  </si>
  <si>
    <t xml:space="preserve">Austin ISD-owned; approved for closure end of 2025-26 SY (students reassign to Guerrero-Thompson/Woo</t>
  </si>
  <si>
    <t xml:space="preserve">Average (57% suitability score 2021); undersized/aged gym &amp; cafeteria needing fl</t>
  </si>
  <si>
    <t xml:space="preserve">Mixed residential/commercial (Georgian Acres area); 88% renters, diverse, near I</t>
  </si>
  <si>
    <t xml:space="preserve">No structural/environmental (asbestos/flood) issues noted; low state ratings tri</t>
  </si>
  <si>
    <t xml:space="preserve">No listing/sale found; appraised $18.01M (2026 TCAD via [Zabalist](https://www.zabalist.com/site-plans/13397376))</t>
  </si>
  <si>
    <t xml:space="preserve">3000 Jones Road, Austin, TX 78745</t>
  </si>
  <si>
    <t xml:space="preserve">1971 (additions 1985-86)</t>
  </si>
  <si>
    <t xml:space="preserve">Closed (end of 2025-26 school year); surplus AISD property under repurposing evaluation (community/n</t>
  </si>
  <si>
    <t xml:space="preserve">Poor facility condition (FCA 48/100 in 2017); good educational suitability (ESA </t>
  </si>
  <si>
    <t xml:space="preserve">Low-density residential (City of Sunset Valley enclave); mixed with nearby comme</t>
  </si>
  <si>
    <t xml:space="preserve">None found (no structural, asbestos, or flood issues reported)</t>
  </si>
  <si>
    <t xml:space="preserve">Not listed/sold; in surplus repurposing process</t>
  </si>
  <si>
    <t xml:space="preserve">3601 Webberville Road, Austin, TX 78702</t>
  </si>
  <si>
    <t xml:space="preserve">Main bldg 1958; gym 1984 ([AISD FCA](https://www.austinisd.org/sites/default/files/dept/plans-lrp/doc/esa-fca-summaries/AISD_ESA_FCA_Summary_Oak_Springs_ES.pdf))</t>
  </si>
  <si>
    <t xml:space="preserve">Good (5-10 ac)</t>
  </si>
  <si>
    <t xml:space="preserve">AISD-owned; scheduled to close end of 2025-26 SY; students reassign to Blackshear ES; modernization </t>
  </si>
  <si>
    <t xml:space="preserve">Unsatisfactory (FCA score 46/100); dated exterior but well-maintained ([AISD FCA</t>
  </si>
  <si>
    <t xml:space="preserve">East Austin (Govalle area); residential/mixed-use, historic working-class ([Gova</t>
  </si>
  <si>
    <t xml:space="preserve">No specific structural/environmental issues found (asbestos/flood); in Govalle N</t>
  </si>
  <si>
    <t xml:space="preserve">None; no active listing/sale ([searches](traviscad.org))</t>
  </si>
  <si>
    <t xml:space="preserve">3001 South 1st Street, Austin, TX 78704</t>
  </si>
  <si>
    <t xml:space="preserve">1954 [Wikipedia](https://en.wikipedia.org/wiki/Dawson_Elementary_School)</t>
  </si>
  <si>
    <t xml:space="preserve">Closing end of 2025-26 school year; surplus property in AISD repurposing process (community use, lea</t>
  </si>
  <si>
    <t xml:space="preserve">Average (FCA 61/100); Good suitability (ESA 68/100) [AISD Bond Fact Sheet](https</t>
  </si>
  <si>
    <t xml:space="preserve">Mixed-use (residential, commercial corridors on S 1st St/S Congress) [Austin Tra</t>
  </si>
  <si>
    <t xml:space="preserve">None found (no structural/environmental/flood specifics)</t>
  </si>
  <si>
    <t xml:space="preserve">None; not listed/sold</t>
  </si>
  <si>
    <t xml:space="preserve">3808 Maplewood Ave, Austin, TX 78722</t>
  </si>
  <si>
    <t xml:space="preserve">1951-1952 [School site](https://maplewood.austinschools.org/about-us), [Zillow](https://www.zillow.com/homedetails/3808-Maplewood-Ave-Austin-TX-78722/125887915_zpid/)</t>
  </si>
  <si>
    <t xml:space="preserve">Operational AISD elementary school; removed from 2025/26 closure list, remains open [FOX7 Austin](ht</t>
  </si>
  <si>
    <t xml:space="preserve">Good academic performer; district cited expensive facility fixes as closure rati</t>
  </si>
  <si>
    <t xml:space="preserve">Residential (Cherrywood neighborhood) [School site](https://maplewood.austinscho</t>
  </si>
  <si>
    <t xml:space="preserve">Expensive facility maintenance cited by district; no specific structural/environ</t>
  </si>
  <si>
    <t xml:space="preserve">Not for sale; Zestimate $8.3M [Zillow](https://www.zillow.com/homedetails/3808-Maplewood-Ave-Austin-TX-78722/125887915_zpid/)</t>
  </si>
  <si>
    <t xml:space="preserve">701 East 33rd Street, Houston, TX 77022</t>
  </si>
  <si>
    <t xml:space="preserve">1928 (current building)</t>
  </si>
  <si>
    <t xml:space="preserve">Houston ISD-owned, approved for closure end of 2025-26 school year (Feb 2026 vote), students rezoned</t>
  </si>
  <si>
    <t xml:space="preserve">Good, recently renovated (MEP, glazing, accessibility)</t>
  </si>
  <si>
    <t xml:space="preserve">Historic residential (Independence Heights, first Black municipality in TX), mix</t>
  </si>
  <si>
    <t xml:space="preserve">None found; potential standard issues for age (asbestos? flood zone near bayous?</t>
  </si>
  <si>
    <t xml:space="preserve">Not listed/sold; news speculates multimillion value for redevelopment</t>
  </si>
  <si>
    <t xml:space="preserve">7601 Dixie Drive, Austin, TX 78744</t>
  </si>
  <si>
    <t xml:space="preserve">1987 (classroom addition 2006; est. 1911) [AISD docs](https://www.austinisd.org/sites/default/files/dept/plans-lrp/doc/esa-fca-summaries/AISD_ESA_FCA_Summary_Palm_ES.pdf)</t>
  </si>
  <si>
    <t xml:space="preserve">No</t>
  </si>
  <si>
    <t xml:space="preserve">AISD-owned, operating (potential closure proposed 2025-26, delayed to 2026; students ~380) [AISD Nov</t>
  </si>
  <si>
    <t xml:space="preserve">Average to poor: FCA scores 39-57/100 (issues: HVAC 41, site/civil 14, crawlspac</t>
  </si>
  <si>
    <t xml:space="preserve">Mixed residential-industrial South Austin [BizJournals Oct 2025](https://www.biz</t>
  </si>
  <si>
    <t xml:space="preserve">Low enrollment; poor site drainage/crawlspace/mechanical; no asbestos, structura</t>
  </si>
  <si>
    <t xml:space="preserve">None found; AISD considering sales of closed campuses for $20M deficit [KUT Feb 2026](https://www.facebook.com/kutradio/posts/facing-a-budget-deficit-of-nearly-20-million-austin-isd-leaders-are-turning-to-t/1342636841217666/)</t>
  </si>
  <si>
    <t xml:space="preserve">5605 Nuckols Crossing Rd, Austin, TX 78744</t>
  </si>
  <si>
    <t xml:space="preserve">1986</t>
  </si>
  <si>
    <t xml:space="preserve">Closed end of 2025-26 school year (approved Nov 2025); tentatively selected as surplus property for </t>
  </si>
  <si>
    <t xml:space="preserve">Average (FCA 65 in older assessment, 47 in 2022); selected for closure partly du</t>
  </si>
  <si>
    <t xml:space="preserve">Primarily residential (single-family homes, some apartments); urban, working-cla</t>
  </si>
  <si>
    <t xml:space="preserve">Low performance (F-rated); poor building condition noted as factor in closure</t>
  </si>
  <si>
    <t xml:space="preserve">No current listing or recent sale found</t>
  </si>
  <si>
    <t xml:space="preserve">3500 Susquehanna Lane, Austin, TX 78723</t>
  </si>
  <si>
    <t xml:space="preserve">1970 (additions 1990, 2007; library 2017)</t>
  </si>
  <si>
    <t xml:space="preserve">AISD-owned; approved for closure after 2025-26 school year (used as swing space for Pecan Springs ES</t>
  </si>
  <si>
    <t xml:space="preserve">Unsatisfactory (FCA score 54/100 per 2022 AISD assessment); poor site/civil (6/1</t>
  </si>
  <si>
    <t xml:space="preserve">Suburban residential (single-family homes, apartments, tree-lined streets, diver</t>
  </si>
  <si>
    <t xml:space="preserve">Poor site/civil conditions; adjacent to busy road</t>
  </si>
  <si>
    <t xml:space="preserve">No current listing; LoopNet had $4M land listing (possibly outdated/inaccurate); Zestimate $10.8M</t>
  </si>
  <si>
    <t xml:space="preserve">4103 Brisbane St, Houston, TX 77047</t>
  </si>
  <si>
    <t xml:space="preserve">1957 (LoopNet/Cushman); 1966 (HCAD)</t>
  </si>
  <si>
    <t xml:space="preserve">Former HISD school, closed, surplus property actively listed for sale</t>
  </si>
  <si>
    <t xml:space="preserve">Reported in disrepair (2022 Facebook post); otherwise average quality per HCAD</t>
  </si>
  <si>
    <t xml:space="preserve">Well-established residential suburban neighborhood (South Acres/Crestmont Park S</t>
  </si>
  <si>
    <t xml:space="preserve">Potential flood risk near Sims Bayou; reported deplorable condition (2022)</t>
  </si>
  <si>
    <t xml:space="preserve">Not publicly listed (contact broker)</t>
  </si>
  <si>
    <t xml:space="preserve">5815 Hirsch Rd, Houston, TX 77026</t>
  </si>
  <si>
    <t xml:space="preserve">Pre-2011 (closed 2011); demolished post-2013</t>
  </si>
  <si>
    <t xml:space="preserve">Likely</t>
  </si>
  <si>
    <t xml:space="preserve">Unknown</t>
  </si>
  <si>
    <t xml:space="preserve">Vacant land, district-owned or private (HISD), previously marketed for sale</t>
  </si>
  <si>
    <t xml:space="preserve">Demolished; site now vacant land</t>
  </si>
  <si>
    <t xml:space="preserve">Low-density residential with gardens, some commercial/industrial near railroads;</t>
  </si>
  <si>
    <t xml:space="preserve">FEMA Flood Zone AE (moderate risk, 44.7ft elevation); demo permits indicate prio</t>
  </si>
  <si>
    <t xml:space="preserve">Previously listed (LoopNet, no price available); no recent sale found</t>
  </si>
  <si>
    <t xml:space="preserve">3100 E 4th St., Austin, TX 78702</t>
  </si>
  <si>
    <t xml:space="preserve">1954</t>
  </si>
  <si>
    <t xml:space="preserve">AISD surplus; sale approved for negotiation with Trammell Crow Co./High St (Jan 2026); targeted clos</t>
  </si>
  <si>
    <t xml:space="preserve">Expensive to renovate per AISD (no detailed condition info found)</t>
  </si>
  <si>
    <t xml:space="preserve">East Austin: mixed residential-commercial, vibrant eclectic, gentrifying, arts/f</t>
  </si>
  <si>
    <t xml:space="preserve">None identified</t>
  </si>
  <si>
    <t xml:space="preserve">~$19M planned (Sep 2025 docs)</t>
  </si>
  <si>
    <t xml:space="preserve">5005 Caswell Ave, Austin, TX 78751</t>
  </si>
  <si>
    <t xml:space="preserve">1939 (first construction; some later additions) ([Bond Plan](https://www.austinisd.org/sites/default/files/dept/bond/fact-sheets/es/AISD-Bond-Imp-Plan-Ridgetop-ES.pdf), [ESA Report](https://www.austinisd.org/sites/default/files/dept/plans-lrp/doc/esa-reports/ESA_Report_Ridgetop_ES_Redacted.pdf))</t>
  </si>
  <si>
    <t xml:space="preserve">Moderate (2-5 ac)</t>
  </si>
  <si>
    <t xml:space="preserve">Austin ISD-owned &amp; operating (354 students in 2023-24; closure approved after 2025-26 school year, s</t>
  </si>
  <si>
    <t xml:space="preserve">Average (62% score); dated appearance, undersized gym/cafeteria/kitchen/studios,</t>
  </si>
  <si>
    <t xml:space="preserve">Residential (Hyde Park neighborhood, central Austin urban setting near Shipe Par</t>
  </si>
  <si>
    <t xml:space="preserve">None found (no asbestos, structural, or flood issues noted; limited parking, acc</t>
  </si>
  <si>
    <t xml:space="preserve">Not listed/sold; TCAD market value $11.26M (2026), Zestimate $9.23M ([Zabalist](https://www.zabalist.com/site-plans/254994), [Zillow](https://www.zillow.com/homedetails/5005-Caswell-Ave-Austin-TX-78751/144972675_zpid/))</t>
  </si>
  <si>
    <t xml:space="preserve">5859 Bellfort Avenue, Houston, TX 77033</t>
  </si>
  <si>
    <t xml:space="preserve">Pre-2012 (aging per HISD); exact unknown</t>
  </si>
  <si>
    <t xml:space="preserve">Scheduled for closure end of 2025-26 school year; still HISD-owned as of Mar 2026 [FOX26](https://ww</t>
  </si>
  <si>
    <t xml:space="preserve">Poor - high Facility Condition Index (FCI); part of closures due to $250M+ repai</t>
  </si>
  <si>
    <t xml:space="preserve">Residential (South Park/Sunnyside: single-family homes, low-income, majority Afr</t>
  </si>
  <si>
    <t xml:space="preserve">Aging infrastructure requiring major repairs (HVAC, roofing); potential asbestos</t>
  </si>
  <si>
    <t xml:space="preserve">None; no listing or recent sale found</t>
  </si>
  <si>
    <t xml:space="preserve">4021 Woodmont Drive, Houston, TX 77045</t>
  </si>
  <si>
    <t xml:space="preserve">1964 [School History](https://hobby.houstonisd.org/about-us/school-history)</t>
  </si>
  <si>
    <t xml:space="preserve">Scheduled to close end of 2025-26 SY; students co-located to Lawson MS 2026-27; likely vacant distri</t>
  </si>
  <si>
    <t xml:space="preserve">Aging; high repair needs (HVAC, roof, envelope); part of $250M+ district backlog</t>
  </si>
  <si>
    <t xml:space="preserve">Residential (Glen Iris area) [HAR](https://www.har.com/woodmont-dr-houston-tx/re</t>
  </si>
  <si>
    <t xml:space="preserve">Aging infrastructure (failing HVAC, roofing, building envelope); no specific asb</t>
  </si>
  <si>
    <t xml:space="preserve">None found</t>
  </si>
  <si>
    <t xml:space="preserve">906 W Milton St, Austin, TX 78704</t>
  </si>
  <si>
    <t xml:space="preserve">~1936 (Art Deco facade; first students 1936 per historical article)</t>
  </si>
  <si>
    <t xml:space="preserve">Limited (&lt;2 ac)</t>
  </si>
  <si>
    <t xml:space="preserve">Austin ISD-owned; closing end of 2025-26 school year; surplus property under repurposing review (com</t>
  </si>
  <si>
    <t xml:space="preserve">Unsatisfactory (FCA 46/100, ESA 53/100 per 2022 bond assessment)</t>
  </si>
  <si>
    <t xml:space="preserve">Primarily residential (historic bungalows, young professionals, diverse); near c</t>
  </si>
  <si>
    <t xml:space="preserve">None identified (proposed 2022 improvements: roofing, HVAC, electrical, security</t>
  </si>
  <si>
    <t xml:space="preserve">None (under review, not listed)</t>
  </si>
  <si>
    <t xml:space="preserve">405 Denson Drive, Austin, TX 78752</t>
  </si>
  <si>
    <t xml:space="preserve">~1954 (oldest building 66 years old in 2020)</t>
  </si>
  <si>
    <t xml:space="preserve">Austin ISD-owned and operated; not closing (receiving students from closing Ridgetop ES and Montesso</t>
  </si>
  <si>
    <t xml:space="preserve">Average (5-Year FCA Score 56.16% per 2022 AISD assessment based on 2020 visit); </t>
  </si>
  <si>
    <t xml:space="preserve">Mixed residential/commercial (Highland neighborhood: mid-century homes + new dev</t>
  </si>
  <si>
    <t xml:space="preserve">ADA non-compliance ($974k+), interior brick/stone replacement ($421k), lighting </t>
  </si>
  <si>
    <t xml:space="preserve">None; appraised ~$11.9M (2023 TCAD per Zillow)</t>
  </si>
  <si>
    <t xml:space="preserve">4910 Collingsworth Street, Houston, TX 77026</t>
  </si>
  <si>
    <t xml:space="preserve">1968</t>
  </si>
  <si>
    <t xml:space="preserve">Former school; co-located/closed/relocated (students merged with McReynolds MS to Leland YMCA facili</t>
  </si>
  <si>
    <t xml:space="preserve">Poor: HVAC failures, gym floor buckles/replaced 3x, water leaks/stains, slippery</t>
  </si>
  <si>
    <t xml:space="preserve">Residential (single-family homes, apartments), suburban density, Greater Fifth W</t>
  </si>
  <si>
    <t xml:space="preserve">Structural: water damage, buckling floors; environmental: lead abatement needed </t>
  </si>
  <si>
    <t xml:space="preserve">Not listed/sold; HISD proposed $149.9M rebuild (2024)</t>
  </si>
  <si>
    <t xml:space="preserve">7101 Canal Street, Houston, TX 77011</t>
  </si>
  <si>
    <t xml:space="preserve">Over 110 years old (~1915 or earlier)</t>
  </si>
  <si>
    <t xml:space="preserve">Houston ISD approved closure Feb 2026 ahead of 2026-27 school year; likely vacant, district-owned</t>
  </si>
  <si>
    <t xml:space="preserve">Unknown; recently operational</t>
  </si>
  <si>
    <t xml:space="preserve">Historic residential (Magnolia Park/East End); Hispanic-majority, mixed with som</t>
  </si>
  <si>
    <t xml:space="preserve">None identified (possible asbestos in old schools generally; flood risk in area)</t>
  </si>
  <si>
    <t xml:space="preserve">Not listed for sale; no recent sale found</t>
  </si>
  <si>
    <t xml:space="preserve">4528 Leeland St, Houston, TX 77023</t>
  </si>
  <si>
    <t xml:space="preserve">1983 (current campus)</t>
  </si>
  <si>
    <t xml:space="preserve">Operational through 2025-26 (365 students); closing/co-locating to Lantrip Elem for 2026-27 per HISD</t>
  </si>
  <si>
    <t xml:space="preserve">No known issues; aging infrastructure per HISD district-wide (built 1983)</t>
  </si>
  <si>
    <t xml:space="preserve">Historic residential (Eastwood/East End, Craftsman bungalows) [Wikipedia](https:</t>
  </si>
  <si>
    <t xml:space="preserve">None found; very low flood risk (FEMA Zone X) [Augurisk](https://www.augurisk.co</t>
  </si>
  <si>
    <t xml:space="preserve">Not found (district-owned school property)</t>
  </si>
  <si>
    <t xml:space="preserve">1800 McCarty Street, Houston, TX 77029</t>
  </si>
  <si>
    <t xml:space="preserve">Over 100 years old (pre-1926)</t>
  </si>
  <si>
    <t xml:space="preserve">Closed (end of 2025-26 school year); HISD-owned, future use TBD</t>
  </si>
  <si>
    <t xml:space="preserve">Aging facility, over 100 years old; part of HISD closure rationale</t>
  </si>
  <si>
    <t xml:space="preserve">Mixed residential-commercial-industrial; predominantly Hispanic, blue-collar</t>
  </si>
  <si>
    <t xml:space="preserve">Aging infrastructure; low flood risk (Zone X); no specific asbestos/structural r</t>
  </si>
  <si>
    <t xml:space="preserve">None; recently closed, no sale</t>
  </si>
  <si>
    <t xml:space="preserve">3650 Alabama Street, Houston, TX 77004 (listed); actual program at 5407 Gulfton St, Houston TX 77081</t>
  </si>
  <si>
    <t xml:space="preserve">Unknown; Yates HS new campus 2018 [Turner](https://www.turnerconstruction.com/projects/jack-yates-high-school)</t>
  </si>
  <si>
    <t xml:space="preserve">HISD program closed Feb 2026 (students to Liberty HS); hosted at HCC facility (still operational) [D</t>
  </si>
  <si>
    <t xml:space="preserve">New Yates HS campus opened 2018; no known issues reported [HAR.com](https://www.</t>
  </si>
  <si>
    <t xml:space="preserve">Third Ward (3650 Alabama): Historic African-American, mixed residential/commerci</t>
  </si>
  <si>
    <t xml:space="preserve">None specific; district-wide HISD facility concerns (high FCI in many schools) b</t>
  </si>
  <si>
    <t xml:space="preserve">No listing or sale; not HISD-owned property</t>
  </si>
  <si>
    <t xml:space="preserve">5910 Market Street, Houston, TX 77020</t>
  </si>
  <si>
    <t xml:space="preserve">Not found in public records</t>
  </si>
  <si>
    <t xml:space="preserve">Scheduled for closure at end of 2026-27 school year per HISD Board vote Feb 27 2026; currently distr</t>
  </si>
  <si>
    <t xml:space="preserve">Facility condition cited as factor in closure decision by HISD superintendent [A</t>
  </si>
  <si>
    <t xml:space="preserve">Mixed residential/commercial, low-income (95% econ disadvantaged students), East</t>
  </si>
  <si>
    <t xml:space="preserve">No specific structural/environmental issues found; potential asbestos risk in ol</t>
  </si>
  <si>
    <t xml:space="preserve">No listing or sale found</t>
  </si>
  <si>
    <t xml:space="preserve">321 Forest Hill Boulevard, Houston, TX 77011</t>
  </si>
  <si>
    <t xml:space="preserve">1928 [Click2Houston](https://www.click2houston.com/news/local/2026/02/17/pushback-grows-as-houston-isd-plans-to-close-12-schools-most-in-northeast-houston/)</t>
  </si>
  <si>
    <t xml:space="preserve">Closed Feb 2026 by HISD (end of 2025-26 year); still district-owned, no sale/repurpose [HISD](https:</t>
  </si>
  <si>
    <t xml:space="preserve">Aging (98 years old); high FCI per HISD - needs replacement; failing HVAC, roofi</t>
  </si>
  <si>
    <t xml:space="preserve">Historic residential East End/Forest Hill; predominantly Hispanic, revitalizing </t>
  </si>
  <si>
    <t xml:space="preserve">High maintenance costs ($250M+ across 12 schools); underutilized; potential asbe</t>
  </si>
  <si>
    <t xml:space="preserve">6501 Bellaire Boulevard, Houston, TX 77074</t>
  </si>
  <si>
    <t xml:space="preserve">1957 (Long Middle School campus) [HISD](https://long.houstonisd.org/about-us/school-history)</t>
  </si>
  <si>
    <t xml:space="preserve">Active HISD campus (Jane Long Academy); Las Americas program merged 2025 due to low enrollment [Texa</t>
  </si>
  <si>
    <t xml:space="preserve">No recent known issues; outdated 2014 complaints of poor maintenance [Trulia](ht</t>
  </si>
  <si>
    <t xml:space="preserve">Mixed-use residential/commercial (Sharpstown near PlazAmericas Mall) [Baker Katz</t>
  </si>
  <si>
    <t xml:space="preserve">None recent; 2014 reviews noted overcrowding/dirtiness (outdated)</t>
  </si>
  <si>
    <t xml:space="preserve">None (not for sale; active school)</t>
  </si>
  <si>
    <t xml:space="preserve">400 Victoria Drive, Houston, TX 77022</t>
  </si>
  <si>
    <t xml:space="preserve">2012 (new campus; original 1964)</t>
  </si>
  <si>
    <t xml:space="preserve">Active HISD-owned school, receiving students from closing Burrus Elementary for 2026-27</t>
  </si>
  <si>
    <t xml:space="preserve">Good (built 2012, no specific issues found)</t>
  </si>
  <si>
    <t xml:space="preserve">Historic residential (Independence Heights), primarily single-family homes, dive</t>
  </si>
  <si>
    <t xml:space="preserve">N/A (district-owned, no sale)</t>
  </si>
  <si>
    <t xml:space="preserve">5407 Gulfton Street, Houston, TX 77081</t>
  </si>
  <si>
    <t xml:space="preserve">HCC Gulfton Center campus operational; Middle College HS program closed/merged into Liberty HS (same</t>
  </si>
  <si>
    <t xml:space="preserve">Unknown; no known issues found</t>
  </si>
  <si>
    <t xml:space="preserve">Mixed-use: dominant multi-family residential apartments, scattered commercial/li</t>
  </si>
  <si>
    <t xml:space="preserve">None found (no structural/environmental/flood mentions specific to site)</t>
  </si>
  <si>
    <t xml:space="preserve">N/A (HCC-owned public facility)</t>
  </si>
  <si>
    <t xml:space="preserve">1820 S Lockwood Dr, Houston, TX 77023</t>
  </si>
  <si>
    <t xml:space="preserve">Over 110 years old (~1915 or earlier) ([ABC13](https://abc13.com/post/houston-isd-parents-brace-school-closures-experts-said-more-may-necessary/18654977/))</t>
  </si>
  <si>
    <t xml:space="preserve">HISD-owned; approved for closure prior to 2026-2027 school year ([FOX26](https://www.fox26houston.co</t>
  </si>
  <si>
    <t xml:space="preserve">Unknown; no known issues reported</t>
  </si>
  <si>
    <t xml:space="preserve">Historic residential/mixed-use (East End/Magnolia Park area, predominantly Hispa</t>
  </si>
  <si>
    <t xml:space="preserve">None reported</t>
  </si>
  <si>
    <t xml:space="preserve">Not listed or sold recently</t>
  </si>
  <si>
    <t xml:space="preserve">2819 Bay Street, Houston, TX 77026</t>
  </si>
  <si>
    <t xml:space="preserve">Not found</t>
  </si>
  <si>
    <t xml:space="preserve">Houston ISD-owned; approved for closure end of 2025-26 school year (Feb 2026 vote); students reassig</t>
  </si>
  <si>
    <t xml:space="preserve">Aging facilities requiring high maintenance (reason for closure)</t>
  </si>
  <si>
    <t xml:space="preserve">Residential (Bay Street Gardens/Kashmere Gardens; historic cozy single-family ho</t>
  </si>
  <si>
    <t xml:space="preserve">Aging infrastructure; no specific structural or environmental issues noted</t>
  </si>
  <si>
    <t xml:space="preserve">Not listed/sold (recent closure)</t>
  </si>
  <si>
    <t xml:space="preserve">1601 Haskell Street, Austin, TX 78702</t>
  </si>
  <si>
    <t xml:space="preserve">1967 [School Site](https://martin.austinschools.org/about-us/overview)</t>
  </si>
  <si>
    <t xml:space="preserve">Austin ISD-owned; operational 2025-26 school year but planned temporary closure after for consolidat</t>
  </si>
  <si>
    <t xml:space="preserve">Under major renovation (2022 Bond: secure entry, mental health center, HVAC/plum</t>
  </si>
  <si>
    <t xml:space="preserve">Mixed residential/commercial; historic Holly/East Cesar Chavez; gentrifying with</t>
  </si>
  <si>
    <t xml:space="preserve">Low enrollment (240 students 2023-24); F accountability rating; high chronic abs</t>
  </si>
  <si>
    <t xml:space="preserve">Not for sale; no recent sale price found</t>
  </si>
  <si>
    <t xml:space="preserve">1200 E. Rundberg Lane, Austin, TX 78753</t>
  </si>
  <si>
    <t xml:space="preserve">1973</t>
  </si>
  <si>
    <t xml:space="preserve">Austin ISD-owned, operational middle school (544 students as of 2023-24), under turnaround plan and </t>
  </si>
  <si>
    <t xml:space="preserve">Undergoing extensive modernization: interior updates completed (painting, restro</t>
  </si>
  <si>
    <t xml:space="preserve">Mixed-use urban: single-family residential core with apartments, commercial stri</t>
  </si>
  <si>
    <t xml:space="preserve">Asbestos abatement in 2019 (insulation, flooring, etc.); low state accountabilit</t>
  </si>
  <si>
    <t xml:space="preserve">None; no listing or sale found</t>
  </si>
  <si>
    <t xml:space="preserve">1203 Springdale Rd, Austin, TX 78721 (Sims Elementary; Norman-Sims at 4001 Tannehill Ln)</t>
  </si>
  <si>
    <t xml:space="preserve">1956 [Austin ISD Repurposing Page](https://www.austinisd.org/repurposing/sims)</t>
  </si>
  <si>
    <t xml:space="preserve">Austin ISD-owned; used as swing space (Harris Elem 2024-2026, Andrews Elem 2026-2028); community inp</t>
  </si>
  <si>
    <t xml:space="preserve">No known issues reported; operational as swing space</t>
  </si>
  <si>
    <t xml:space="preserve">Mixed residential (historically African American East Austin, gentrifying with u</t>
  </si>
  <si>
    <t xml:space="preserve">None identified (no structural/environmental/flood/asbestos reports found)</t>
  </si>
  <si>
    <t xml:space="preserve">None (not for sale; district-owned)</t>
  </si>
  <si>
    <t xml:space="preserve">8511 Crestmont Street, Houston, TX 77033</t>
  </si>
  <si>
    <t xml:space="preserve">~2005 (original 1959)</t>
  </si>
  <si>
    <t xml:space="preserve">Active HISD elementary school (PK-5)</t>
  </si>
  <si>
    <t xml:space="preserve">Good; newer post-2005 building replaced structurally deficient original</t>
  </si>
  <si>
    <t xml:space="preserve">Residential (South Park/Sunnyside historic area)</t>
  </si>
  <si>
    <t xml:space="preserve">Past structural issues (pre-2005); no current known</t>
  </si>
  <si>
    <t xml:space="preserve">Not for sale; district-owned</t>
  </si>
  <si>
    <t xml:space="preserve">1910 Lamonte Ln, Houston, TX 77018</t>
  </si>
  <si>
    <t xml:space="preserve">1952</t>
  </si>
  <si>
    <t xml:space="preserve">Active Houston ISD STEAM magnet elementary school</t>
  </si>
  <si>
    <t xml:space="preserve">No known issues found; appears operational (unknown structural details)</t>
  </si>
  <si>
    <t xml:space="preserve">Residential (Oak Forest / Garden Oaks)</t>
  </si>
  <si>
    <t xml:space="preserve">None identified (no asbestos, flood, structural reports found)</t>
  </si>
  <si>
    <t xml:space="preserve">Not for sale; no recent sale found (district-owned)</t>
  </si>
  <si>
    <t xml:space="preserve">601 East Saint Johns Avenue, Austin, TX 78752</t>
  </si>
  <si>
    <t xml:space="preserve">Active AISD middle school under state-mandated turnaround plan (low ratings); potential charter oper</t>
  </si>
  <si>
    <t xml:space="preserve">Deferred maintenance likely (HVAC, roof, plumbing repairs planned per 2022 Bond)</t>
  </si>
  <si>
    <t xml:space="preserve">Mixed residential/commercial (St. Johns neighborhood, Northeast Austin; 69% rent</t>
  </si>
  <si>
    <t xml:space="preserve">None found (no asbestos, flood zone, structural reports)</t>
  </si>
  <si>
    <t xml:space="preserve">None; not for sale</t>
  </si>
  <si>
    <t xml:space="preserve">Burnet Middle School</t>
  </si>
  <si>
    <t xml:space="preserve">8401 Hathaway Drive, Austin, TX 78757</t>
  </si>
  <si>
    <t xml:space="preserve">1961 (opened 1960-61)</t>
  </si>
  <si>
    <t xml:space="preserve">Active AISD middle school; modernization underway (new 240-248k SF bldg groundbreaking 2025, open 20</t>
  </si>
  <si>
    <t xml:space="preserve">Poor: roofing, MEP/HVAC/electrical deficiencies, high maintenance, security issu</t>
  </si>
  <si>
    <t xml:space="preserve">Residential suburban (North Central Austin: single-family homes, tree-lined; nea</t>
  </si>
  <si>
    <t xml:space="preserve">Structural/MEP deficiencies; no asbestos/flood noted. Academic turnaround (not c</t>
  </si>
  <si>
    <t xml:space="preserve">N/A (district-owned); $158M bond project cost</t>
  </si>
  <si>
    <t xml:space="preserve">Linder Elementary School</t>
  </si>
  <si>
    <t xml:space="preserve">2800 Metcalfe Road, Austin, TX 78741</t>
  </si>
  <si>
    <t xml:space="preserve">1972 [AISD Bond Fact Sheet](https://www.austinisd.org/sites/default/files/dept/bond/fact-sheets/es/AISD-Bond-Imp-Plan-Linder-ES.pdf)</t>
  </si>
  <si>
    <t xml:space="preserve">Active school, Austin ISD-owned, full modernization under 2022 Bond (new building by Aug 2026) [Aust</t>
  </si>
  <si>
    <t xml:space="preserve">Poor per 2017 Facility Condition Assessment (score 30/100); currently active wit</t>
  </si>
  <si>
    <t xml:space="preserve">Mixed residential/commercial/urban (Parker Lane neighborhood: 82% renters, bars/</t>
  </si>
  <si>
    <t xml:space="preserve">None found (no asbestos/flood/structural issues noted); in Suburban Watershed [A</t>
  </si>
  <si>
    <t xml:space="preserve">N/A (not for sale; not surplus property) [AISD Repurposing](https://www.austinisd.org/repurposing)</t>
  </si>
  <si>
    <t xml:space="preserve">Pecan Springs Elementary School</t>
  </si>
  <si>
    <t xml:space="preserve">3100 Rogge Ln, Austin, TX 78723</t>
  </si>
  <si>
    <t xml:space="preserve">1957 (built 1950s)</t>
  </si>
  <si>
    <t xml:space="preserve">AISD-owned; operational but restarting under TEA plan for 2026-27; existing building demolition star</t>
  </si>
  <si>
    <t xml:space="preserve">Average (56/100 educational suitability score): cracking/wet walls &amp; floors, pee</t>
  </si>
  <si>
    <t xml:space="preserve">Residential (Pecan Springs-Springdale, East Austin: single-family homes, parks, </t>
  </si>
  <si>
    <t xml:space="preserve">Sewage backups (flooded gym); outdated maintenance/tech. No asbestos/flood/envir</t>
  </si>
  <si>
    <t xml:space="preserve">None (district-owned, no sale)</t>
  </si>
  <si>
    <t xml:space="preserve">Bryker Woods Elementary School</t>
  </si>
  <si>
    <t xml:space="preserve">3309 Kerbey Lane, Austin, TX 78703</t>
  </si>
  <si>
    <t xml:space="preserve">1939 (first construction), with additions in 1949 and 1999 ([AISD ESA/FCA summary](https://www.austinisd.org/sites/default/files/dept/plans-lrp/doc/esa-fca-summaries/AISD_ESA_FCA_Summary_Bryker_Woods_ES.pdf)).</t>
  </si>
  <si>
    <t xml:space="preserve">District-owned and operating as an AISD elementary school (reported 255 students in 2023-24) with re</t>
  </si>
  <si>
    <t xml:space="preserve">AISD facility condition assessment score 40 (rated “Unsatisfactory”); subsystem </t>
  </si>
  <si>
    <t xml:space="preserve">Primarily residential (established central Austin neighborhood) with mature tree</t>
  </si>
  <si>
    <t xml:space="preserve">No specific environmental hazards (e.g., asbestos) or flood-zone designation wer</t>
  </si>
  <si>
    <t xml:space="preserve">No listing price or sale price found; property appears not to have been marketed/sold as of the sources reviewed ([Texas Tribune school profile](https://schools.texastribune.org/districts/austin-isd/bryker-woods-elementary-school/); [Austin Chronicle](https://www.austinchronicle.com/news/aisd-makes-last-minute-changes-to-school-closure-and-zoning-plan/)).</t>
  </si>
  <si>
    <t xml:space="preserve">Metz Elementary School</t>
  </si>
  <si>
    <t xml:space="preserve">84 Robert T Martinez Jr St, Austin, TX 78702</t>
  </si>
  <si>
    <t xml:space="preserve">1993</t>
  </si>
  <si>
    <t xml:space="preserve">Repurposed: AISD administrative offices (Health Services, Library Media Services, STEM, Construction</t>
  </si>
  <si>
    <t xml:space="preserve">Average (2017 AISD FCA score 60/100)</t>
  </si>
  <si>
    <t xml:space="preserve">Mixed-use (East Cesar Chavez/Holly: residential, commercial, nightlife, parks)</t>
  </si>
  <si>
    <t xml:space="preserve">Pease Elementary School</t>
  </si>
  <si>
    <t xml:space="preserve">1106 Rio Grande Street, Austin, TX</t>
  </si>
  <si>
    <t xml:space="preserve">1876 (orig), addns 1916/26/49/97; TCAD 1953 [AISD Site](https://www.austinisd.org/repurposing/pease)</t>
  </si>
  <si>
    <t xml:space="preserve">AISD-owned, repurposed/leased to United Way early childhood center (since ~2025) [AISD Site](https:/</t>
  </si>
  <si>
    <t xml:space="preserve">Aging historic; needs repairs in fire safety, MEP, plumbing ($1.8M now, $4M/10yr</t>
  </si>
  <si>
    <t xml:space="preserve">Downtown/Old West Austin historic - mixed residential (student/condos), commerci</t>
  </si>
  <si>
    <t xml:space="preserve">Asbestos, lead paint, electrical, plumbing, fire/life safety [AISD PDF](https://</t>
  </si>
  <si>
    <t xml:space="preserve">Not sold; leased $1/yr to United Way [Texas Standard](https://www.texasstandard.org/stories/pease-elementary-austin-tx-reopening-child-care-center-united-way/)</t>
  </si>
  <si>
    <t xml:space="preserve">International High School (note: not at this address; current at 7104 Berkman Dr)</t>
  </si>
  <si>
    <t xml:space="preserve">7301 Providence Ave, Austin, TX 78752</t>
  </si>
  <si>
    <t xml:space="preserve">2019</t>
  </si>
  <si>
    <t xml:space="preserve">Residential condos, units listed/sold recently (e.g., Unit A $445k active 2026)</t>
  </si>
  <si>
    <t xml:space="preserve">Modern condos (2019), good condition per listings</t>
  </si>
  <si>
    <t xml:space="preserve">Mixed residential (single-family, condos, apartments), up-and-coming, commuter-f</t>
  </si>
  <si>
    <t xml:space="preserve">Unit A listed $445,000 (2026); Unit B+C sold $450k (Aug 2025)</t>
  </si>
  <si>
    <t xml:space="preserve">Henderson N Elementary School (Nathaniel Q. Henderson Elementary)</t>
  </si>
  <si>
    <t xml:space="preserve">701 Solo Street, Houston, TX 77020</t>
  </si>
  <si>
    <t xml:space="preserve">Houston ISD approved closure Feb 2026 (prior to 2026-27 year); likely vacant/district-owned</t>
  </si>
  <si>
    <t xml:space="preserve">Aging facility; part of closures due to maintenance costs (specifics unknown)</t>
  </si>
  <si>
    <t xml:space="preserve">Greater Fifth Ward (residential)</t>
  </si>
  <si>
    <t xml:space="preserve">Declining enrollment, high maintenance costs on aging buildings</t>
  </si>
  <si>
    <t xml:space="preserve">Indoor Sports</t>
  </si>
  <si>
    <t xml:space="preserve">Outdoor Sports</t>
  </si>
  <si>
    <t xml:space="preserve">TSA Sport-Specific Match</t>
  </si>
  <si>
    <t xml:space="preserve">Basketball, Volleyball, Wrestling, Martial Arts, Cheer/Tumbling, Fencing, Dance/Fitness, Parkour, Gymnastics (basic)</t>
  </si>
  <si>
    <t xml:space="preserve">Youth Soccer (small-sided), Tennis (2 courts), Flag Football, Outdoor Fitness, Youth Baseball/Softball, Full Soccer (11v11), 4-Lane Training Track, Full Baseball Diamond, Tennis (4-6 courts), 8-Lane Track, Multi-field Complex, Football</t>
  </si>
  <si>
    <t xml:space="preserve">Basketball Academy, Gymnastics Academy, Cheer Academy, Baseball Academy, Soccer Academy, Martial Arts Academy, Multi-Sport (Lake Travis model)</t>
  </si>
  <si>
    <t xml:space="preserve">Youth Soccer (small-sided), Tennis (2 courts), Flag Football, Outdoor Fitness, Youth Baseball/Softball, Full Soccer (11v11), 4-Lane Training Track, Full Baseball Diamond, Tennis (4-6 courts)</t>
  </si>
  <si>
    <t xml:space="preserve">Basketball, Volleyball, Wrestling, Martial Arts, Cheer/Tumbling, Fencing, Dance/Fitness, Parkour</t>
  </si>
  <si>
    <t xml:space="preserve">Basketball Academy, Cheer Academy, Baseball Academy, Soccer Academy, Martial Arts Academy, Multi-Sport (Lake Travis model)</t>
  </si>
  <si>
    <t xml:space="preserve">Youth Soccer (small-sided), Tennis (2 courts), Flag Football, Outdoor Fitness, Youth Baseball/Softball, Full Soccer (11v11), 4-Lane Training Track</t>
  </si>
  <si>
    <t xml:space="preserve">Baseball Academy, Soccer Academy</t>
  </si>
  <si>
    <t xml:space="preserve">Youth Soccer (small-sided), Tennis (2 courts), Flag Football, Outdoor Fitness</t>
  </si>
  <si>
    <t xml:space="preserve">Basketball Academy, Gymnastics Academy, Cheer Academy, Soccer Academy, Martial Arts Academy, Multi-Sport (Lake Travis model)</t>
  </si>
  <si>
    <t xml:space="preserve">Basketball Academy, Gymnastics Academy, Cheer Academy, Martial Arts Academy, Multi-Sport (Lake Travis model)</t>
  </si>
  <si>
    <t xml:space="preserve">Indoor-only sports</t>
  </si>
  <si>
    <t xml:space="preserve">Unknown (lot size data unavailable)</t>
  </si>
  <si>
    <t xml:space="preserve">Basketball Academy, Cheer Academy, Martial Arts Academy, Multi-Sport (Lake Travis model)</t>
  </si>
  <si>
    <t xml:space="preserve">Rehab Cost (Low)</t>
  </si>
  <si>
    <t xml:space="preserve">Rehab Cost (High)</t>
  </si>
  <si>
    <t xml:space="preserve">Rehab Plan</t>
  </si>
  <si>
    <t xml:space="preserve">Phase 1: Environmental remediation (asbestos/lead abatement) → Phase 1: Building assessment &amp; ADA compliance audit → Phase 2: Gym renovation - new flooring, lighting, HVAC for sports use → Phase 2: Convert 2-3 classrooms to learning stations (AI tutoring pods) → Phase 2: HVAC/electrical upgrade for sports facility loads → Phase 3: Develop outdoor fields (grading, turf, fencing) → Phase 3: Install fitness/weight room equipment → Phase 3: Add locker rooms/changing facilities → Phase 4: Final inspections, Certificate of Occupancy, equipment</t>
  </si>
  <si>
    <t xml:space="preserve">Phase 1: Environmental remediation (asbestos/lead abatement) → Phase 1: Building assessment &amp; ADA compliance audit → Phase 2: Convert largest interior space to gymnasium/training facility → Phase 2: Convert 2-3 classrooms to learning stations (AI tutoring pods) → Phase 2: HVAC/electrical upgrade for sports facility loads → Phase 3: Develop outdoor fields (grading, turf, fencing) → Phase 3: Install fitness/weight room equipment → Phase 3: Add locker rooms/changing facilities → Phase 4: Final inspections, Certificate of Occupancy, equipment</t>
  </si>
  <si>
    <t xml:space="preserve">Phase 1: Building assessment &amp; ADA compliance audit → Phase 2: Convert largest interior space to gymnasium/training facility → Phase 2: Convert 2-3 classrooms to learning stations (AI tutoring pods) → Phase 2: HVAC/electrical upgrade for sports facility loads → Phase 3: Develop outdoor fields (grading, turf, fencing) → Phase 3: Install fitness/weight room equipment → Phase 3: Add locker rooms/changing facilities → Phase 4: Final inspections, Certificate of Occupancy, equipment</t>
  </si>
  <si>
    <t xml:space="preserve">Phase 1: Building assessment &amp; ADA compliance audit → Phase 2: Gym renovation - new flooring, lighting, HVAC for sports use → Phase 2: Convert 2-3 classrooms to learning stations (AI tutoring pods) → Phase 2: HVAC/electrical upgrade for sports facility loads → Phase 3: Install fitness/weight room equipment → Phase 3: Add locker rooms/changing facilities → Phase 4: Final inspections, Certificate of Occupancy, equipment</t>
  </si>
  <si>
    <t xml:space="preserve">Phase 1: Environmental remediation (asbestos/lead abatement) → Phase 1: Building assessment &amp; ADA compliance audit → Phase 2: Gym renovation - new flooring, lighting, HVAC for sports use → Phase 2: Convert 2-3 classrooms to learning stations (AI tutoring pods) → Phase 2: HVAC/electrical upgrade for sports facility loads → Phase 3: Install fitness/weight room equipment → Phase 3: Add locker rooms/changing facilities → Phase 4: Final inspections, Certificate of Occupancy, equipment</t>
  </si>
  <si>
    <t xml:space="preserve">Phase 1: Environmental remediation (asbestos/lead abatement) → Phase 1: Building assessment &amp; ADA compliance audit → Phase 2: Convert largest interior space to gymnasium/training facility → Phase 2: Convert 2-3 classrooms to learning stations (AI tutoring pods) → Phase 2: HVAC/electrical upgrade for sports facility loads → Phase 3: Install fitness/weight room equipment → Phase 3: Add locker rooms/changing facilities → Phase 4: Final inspections, Certificate of Occupancy, equipment</t>
  </si>
  <si>
    <t xml:space="preserve">Phase 1: Building assessment &amp; ADA compliance audit → Phase 2: Convert largest interior space to gymnasium/training facility → Phase 2: Convert 2-3 classrooms to learning stations (AI tutoring pods) → Phase 2: HVAC/electrical upgrade for sports facility loads → Phase 3: Install fitness/weight room equipment → Phase 3: Add locker rooms/changing facilities → Phase 4: Final inspections, Certificate of Occupancy, equipment</t>
  </si>
  <si>
    <t xml:space="preserve">POSSIBLE: Planned temporary closure for re-envisioning as K-8. Phase 1: Negotiate lease/purchase with AISD → Phase 1: Building assessment → Phase 2: Gym renovation → Phase 2: Convert classrooms → Phase 3: Develop outdoor space → Phase 4: Inspections &amp; CO</t>
  </si>
  <si>
    <t xml:space="preserve">UNCERTAIN: Currently operational under turnaround plan. If closed: Phase 1: Building assessment &amp; ADA compliance audit → Phase 2: Gym renovation → Phase 2: Convert classrooms to learning stations → Phase 2: HVAC/electrical upgrade → Phase 3: Develop outdoor fields → Phase 3: Fitness/weight room → Phase 3: Locker rooms → Phase 4: Final inspections &amp; CO</t>
  </si>
  <si>
    <t xml:space="preserve">NOT VIABLE: Active school under $158M modernization, not available for acquisition</t>
  </si>
  <si>
    <t xml:space="preserve">NOT VIABLE: Currently active school, not closing</t>
  </si>
  <si>
    <t xml:space="preserve">NOT VIABLE: Already sold/repurposed</t>
  </si>
  <si>
    <t xml:space="preserve">NOT VIABLE: Already sold/repurposed; Building too small; Lot too small</t>
  </si>
  <si>
    <t xml:space="preserve">NOT VIABLE: Building too small; Lot too small</t>
  </si>
  <si>
    <t xml:space="preserve">TOP 15 PROPERTIES — DETAILED REHAB ANALYSIS</t>
  </si>
  <si>
    <t xml:space="preserve">Bedichek Middle School (AISD) — Tier 1 - Excellent</t>
  </si>
  <si>
    <t xml:space="preserve">133,942 sq ft</t>
  </si>
  <si>
    <t xml:space="preserve">Campus Acreage</t>
  </si>
  <si>
    <t xml:space="preserve">23.0 acres</t>
  </si>
  <si>
    <t xml:space="preserve">Gymnasium</t>
  </si>
  <si>
    <t xml:space="preserve">Austin ISD-owned; school closing end of 2025-26 SY; main building repurposed for district offices/programs; ~28 acres su</t>
  </si>
  <si>
    <t xml:space="preserve">Older facility (1972) needing improvements (per AISD bond: crawl space drainage, electrical, HVAC, plumbing, structural)</t>
  </si>
  <si>
    <t xml:space="preserve">None specifically identified; typical older school issues (proposed bond improvements); no asbestos/flood/environmental </t>
  </si>
  <si>
    <t xml:space="preserve">INDOOR SPORTS</t>
  </si>
  <si>
    <t xml:space="preserve">OUTDOOR SPORTS</t>
  </si>
  <si>
    <t xml:space="preserve">TSA MODEL FIT</t>
  </si>
  <si>
    <t xml:space="preserve">Basketball Academy, Gymnastics Academy, Cheer Academy, Baseball Academy, Soccer Academy, Multi-Sport Flagship</t>
  </si>
  <si>
    <t xml:space="preserve">REHAB COST ESTIMATE</t>
  </si>
  <si>
    <t xml:space="preserve">$6,480,000</t>
  </si>
  <si>
    <t xml:space="preserve">$23,020,000</t>
  </si>
  <si>
    <t xml:space="preserve">REHAB PLAN</t>
  </si>
  <si>
    <t xml:space="preserve">1. Environmental remediation (asbestos/lead testing and abatement)</t>
  </si>
  <si>
    <t xml:space="preserve">2. Building assessment, structural inspection, ADA compliance audit ($15-50K)</t>
  </si>
  <si>
    <t xml:space="preserve">3. Renovate existing gym: new sport flooring, lighting, HVAC upgrade ($200-500K)</t>
  </si>
  <si>
    <t xml:space="preserve">4. Convert 2-3 classrooms to AI tutoring/learning stations ($50-150K)</t>
  </si>
  <si>
    <t xml:space="preserve">5. Full HVAC and electrical system upgrade for sports loads ($200K-1.2M)</t>
  </si>
  <si>
    <t xml:space="preserve">6. Develop outdoor fields: grading, turf/grass, fencing, lighting ($150K-1.5M)</t>
  </si>
  <si>
    <t xml:space="preserve">7. Install weight room and fitness equipment ($50-250K)</t>
  </si>
  <si>
    <t xml:space="preserve">8. Add/upgrade locker rooms, restrooms, changing facilities ($100-300K)</t>
  </si>
  <si>
    <t xml:space="preserve">9. Final inspections, Certificate of Occupancy, equipment installation</t>
  </si>
  <si>
    <t xml:space="preserve">Grimes Elementary School (HISD) — Tier 1 - Excellent</t>
  </si>
  <si>
    <t xml:space="preserve">42,708 sq ft</t>
  </si>
  <si>
    <t xml:space="preserve">16.4 acres</t>
  </si>
  <si>
    <t xml:space="preserve">Vacant HISD surplus property (Grimes Facility); off-market listing; proposed for sale [Texas Scorecard](https://texassco</t>
  </si>
  <si>
    <t xml:space="preserve">Aging (built 1959), vacant 14+ years; potential deferred maintenance (unconfirmed)</t>
  </si>
  <si>
    <t xml:space="preserve">Predominantly residential, historic Black (Sunnyside); single-family homes, some new construction, mixed-use nearby [Wik</t>
  </si>
  <si>
    <t xml:space="preserve">High-crime area; aging/vacant (possible asbestos/flood/environmental); no specifics found</t>
  </si>
  <si>
    <t xml:space="preserve">$5,280,000</t>
  </si>
  <si>
    <t xml:space="preserve">$18,240,000</t>
  </si>
  <si>
    <t xml:space="preserve">Barrington Elementary School (AISD) — Tier 1 - Excellent</t>
  </si>
  <si>
    <t xml:space="preserve">80,000 sq ft</t>
  </si>
  <si>
    <t xml:space="preserve">11.7 acres</t>
  </si>
  <si>
    <t xml:space="preserve">Austin ISD-owned; approved for closure end of 2025-26 SY (students reassign to Guerrero-Thompson/Wooldridge ES for 2026-</t>
  </si>
  <si>
    <t xml:space="preserve">Average (57% suitability score 2021); undersized/aged gym &amp; cafeteria needing flooring; poor natural light in original b</t>
  </si>
  <si>
    <t xml:space="preserve">Mixed residential/commercial (Georgian Acres area); 88% renters, diverse, near I-35/industrial [Homes.com](https://www.h</t>
  </si>
  <si>
    <t xml:space="preserve">No structural/environmental (asbestos/flood) issues noted; low state ratings triggered turnaround/closure; inefficient l</t>
  </si>
  <si>
    <t xml:space="preserve">$10,680,000</t>
  </si>
  <si>
    <t xml:space="preserve">$37,320,000</t>
  </si>
  <si>
    <t xml:space="preserve">Sunset Valley Elementary School (AISD) — Tier 1 - Excellent</t>
  </si>
  <si>
    <t xml:space="preserve">66,467 sq ft</t>
  </si>
  <si>
    <t xml:space="preserve">10.0 acres</t>
  </si>
  <si>
    <t xml:space="preserve">Closed (end of 2025-26 school year); surplus AISD property under repurposing evaluation (community/nonprofit, lease, or </t>
  </si>
  <si>
    <t xml:space="preserve">Poor facility condition (FCA 48/100 in 2017); good educational suitability (ESA 71/100)</t>
  </si>
  <si>
    <t xml:space="preserve">Low-density residential (City of Sunset Valley enclave); mixed with nearby commercial/shopping</t>
  </si>
  <si>
    <t xml:space="preserve">Oak Springs Elementary School (AISD) — Tier 1 - Excellent</t>
  </si>
  <si>
    <t xml:space="preserve">47,100 sq ft</t>
  </si>
  <si>
    <t xml:space="preserve">9.0 acres</t>
  </si>
  <si>
    <t xml:space="preserve">AISD-owned; scheduled to close end of 2025-26 SY; students reassign to Blackshear ES; modernization halted ([Bond site](</t>
  </si>
  <si>
    <t xml:space="preserve">Unsatisfactory (FCA score 46/100); dated exterior but well-maintained ([AISD FCA](https://www.austinisd.org/sites/defaul</t>
  </si>
  <si>
    <t xml:space="preserve">East Austin (Govalle area); residential/mixed-use, historic working-class ([Govalle NP](https://www.austintexas.gov/edim</t>
  </si>
  <si>
    <t xml:space="preserve">No specific structural/environmental issues found (asbestos/flood); in Govalle NP area ([Govalle NP](https://www.austint</t>
  </si>
  <si>
    <t xml:space="preserve">Basketball Academy, Gymnastics Academy, Cheer Academy, Baseball Academy, Soccer Academy</t>
  </si>
  <si>
    <t xml:space="preserve">$4,200,000</t>
  </si>
  <si>
    <t xml:space="preserve">$14,200,000</t>
  </si>
  <si>
    <t xml:space="preserve">Dawson Elementary School (AISD) — Tier 1 - Excellent</t>
  </si>
  <si>
    <t xml:space="preserve">55,301 sq ft</t>
  </si>
  <si>
    <t xml:space="preserve">Closing end of 2025-26 school year; surplus property in AISD repurposing process (community use, lease, or sale). Commun</t>
  </si>
  <si>
    <t xml:space="preserve">Average (FCA 61/100); Good suitability (ESA 68/100) [AISD Bond Fact Sheet](https://www.austinisd.org/sites/default/files</t>
  </si>
  <si>
    <t xml:space="preserve">Mixed-use (residential, commercial corridors on S 1st St/S Congress) [Austin Transit Report](https://www.atptx.org/wp-co</t>
  </si>
  <si>
    <t xml:space="preserve">$3,030,000</t>
  </si>
  <si>
    <t xml:space="preserve">$10,390,000</t>
  </si>
  <si>
    <t xml:space="preserve">Maplewood Elementary School (AISD) — Tier 1 - Excellent</t>
  </si>
  <si>
    <t xml:space="preserve">54,971 sq ft</t>
  </si>
  <si>
    <t xml:space="preserve">6.0 acres</t>
  </si>
  <si>
    <t xml:space="preserve">Operational AISD elementary school; removed from 2025/26 closure list, remains open [FOX7 Austin](https://www.fox7austin</t>
  </si>
  <si>
    <t xml:space="preserve">Good academic performer; district cited expensive facility fixes as closure rationale (though averted) [Axios Austin](ht</t>
  </si>
  <si>
    <t xml:space="preserve">Residential (Cherrywood neighborhood) [School site](https://maplewood.austinschools.org/about-us), [CBS Austin](https://</t>
  </si>
  <si>
    <t xml:space="preserve">Expensive facility maintenance cited by district; no specific structural/environmental/flood issues found</t>
  </si>
  <si>
    <t xml:space="preserve">Burrus Elementary School (HISD) — Tier 1 - Excellent</t>
  </si>
  <si>
    <t xml:space="preserve">66,000 sq ft</t>
  </si>
  <si>
    <t xml:space="preserve">5.3 acres</t>
  </si>
  <si>
    <t xml:space="preserve">Houston ISD-owned, approved for closure end of 2025-26 school year (Feb 2026 vote), students rezoned to Kennedy Elementa</t>
  </si>
  <si>
    <t xml:space="preserve">Historic residential (Independence Heights, first Black municipality in TX), mixed with new single-family/townhome devel</t>
  </si>
  <si>
    <t xml:space="preserve">None found; potential standard issues for age (asbestos? flood zone near bayous?)</t>
  </si>
  <si>
    <t xml:space="preserve">$6,180,000</t>
  </si>
  <si>
    <t xml:space="preserve">$21,520,000</t>
  </si>
  <si>
    <t xml:space="preserve">Palm Elementary School (AISD) — Tier 2 - Good</t>
  </si>
  <si>
    <t xml:space="preserve">79,000 sq ft</t>
  </si>
  <si>
    <t xml:space="preserve">13.0 acres</t>
  </si>
  <si>
    <t xml:space="preserve">AISD-owned, operating (potential closure proposed 2025-26, delayed to 2026; students ~380) [AISD Nov 2025](https://www.a</t>
  </si>
  <si>
    <t xml:space="preserve">Average to poor: FCA scores 39-57/100 (issues: HVAC 41, site/civil 14, crawlspace 20); ESA 59-65/100 avg; needs roof, pl</t>
  </si>
  <si>
    <t xml:space="preserve">Mixed residential-industrial South Austin [BizJournals Oct 2025](https://www.bizjournals.com/austin/news/2025/10/06/aisd</t>
  </si>
  <si>
    <t xml:space="preserve">Low enrollment; poor site drainage/crawlspace/mechanical; no asbestos, structural, or flood issues found</t>
  </si>
  <si>
    <t xml:space="preserve">3. Convert largest interior space to gymnasium ($350-800K)</t>
  </si>
  <si>
    <t xml:space="preserve">Widen Elementary School (AISD) — Tier 2 - Good</t>
  </si>
  <si>
    <t xml:space="preserve">74,523 sq ft</t>
  </si>
  <si>
    <t xml:space="preserve">11.0 acres</t>
  </si>
  <si>
    <t xml:space="preserve">Closed end of 2025-26 school year (approved Nov 2025); tentatively selected as surplus property for potential repurposin</t>
  </si>
  <si>
    <t xml:space="preserve">Average (FCA 65 in older assessment, 47 in 2022); selected for closure partly due to poor condition</t>
  </si>
  <si>
    <t xml:space="preserve">Primarily residential (single-family homes, some apartments); urban, working-class, majority Hispanic; Dove Springs area</t>
  </si>
  <si>
    <t xml:space="preserve">1. Building assessment, structural inspection, ADA compliance audit ($15-50K)</t>
  </si>
  <si>
    <t xml:space="preserve">2. Convert largest interior space to gymnasium ($350-800K)</t>
  </si>
  <si>
    <t xml:space="preserve">3. Convert 2-3 classrooms to AI tutoring/learning stations ($50-150K)</t>
  </si>
  <si>
    <t xml:space="preserve">4. Full HVAC and electrical system upgrade for sports loads ($200K-1.2M)</t>
  </si>
  <si>
    <t xml:space="preserve">5. Develop outdoor fields: grading, turf/grass, fencing, lighting ($150K-1.5M)</t>
  </si>
  <si>
    <t xml:space="preserve">6. Install weight room and fitness equipment ($50-250K)</t>
  </si>
  <si>
    <t xml:space="preserve">7. Add/upgrade locker rooms, restrooms, changing facilities ($100-300K)</t>
  </si>
  <si>
    <t xml:space="preserve">8. Final inspections, Certificate of Occupancy, equipment installation</t>
  </si>
  <si>
    <t xml:space="preserve">Winn Montessori School (AISD) — Tier 2 - Good</t>
  </si>
  <si>
    <t xml:space="preserve">69,000 sq ft</t>
  </si>
  <si>
    <t xml:space="preserve">AISD-owned; approved for closure after 2025-26 school year (used as swing space for Pecan Springs ES until summer 2026)</t>
  </si>
  <si>
    <t xml:space="preserve">Unsatisfactory (FCA score 54/100 per 2022 AISD assessment); poor site/civil (6/100), electrical (49/100)</t>
  </si>
  <si>
    <t xml:space="preserve">Suburban residential (single-family homes, apartments, tree-lined streets, diverse, revitalizing)</t>
  </si>
  <si>
    <t xml:space="preserve">Rhoads Elementary School (HISD) — Tier 2 - Good</t>
  </si>
  <si>
    <t xml:space="preserve">39,756 sq ft</t>
  </si>
  <si>
    <t xml:space="preserve">7.7 acres</t>
  </si>
  <si>
    <t xml:space="preserve">Well-established residential suburban neighborhood (South Acres/Crestmont Park Super Neighborhood #76) with single-famil</t>
  </si>
  <si>
    <t xml:space="preserve">Basketball Academy, Cheer Academy, Baseball Academy, Soccer Academy</t>
  </si>
  <si>
    <t xml:space="preserve">McDade Elementary School (HISD) — Tier 2 - Good</t>
  </si>
  <si>
    <t xml:space="preserve">7.5 acres</t>
  </si>
  <si>
    <t xml:space="preserve">Low-density residential with gardens, some commercial/industrial near railroads; Trinity-Houston Gardens</t>
  </si>
  <si>
    <t xml:space="preserve">FEMA Flood Zone AE (moderate risk, 44.7ft elevation); demo permits indicate prior structures removed; no asbestos/enviro</t>
  </si>
  <si>
    <t xml:space="preserve">Insufficient data for estimate</t>
  </si>
  <si>
    <t xml:space="preserve">Brooke Elementary School (AISD) — Tier 2 - Good</t>
  </si>
  <si>
    <t xml:space="preserve">52,282 sq ft</t>
  </si>
  <si>
    <t xml:space="preserve">5.4 acres</t>
  </si>
  <si>
    <t xml:space="preserve">AISD surplus; sale approved for negotiation with Trammell Crow Co./High St (Jan 2026); targeted close Aug 2026</t>
  </si>
  <si>
    <t xml:space="preserve">East Austin: mixed residential-commercial, vibrant eclectic, gentrifying, arts/food scene, 5 min to downtown</t>
  </si>
  <si>
    <t xml:space="preserve">Ridgetop Elementary School (AISD) — Tier 2 - Good</t>
  </si>
  <si>
    <t xml:space="preserve">35,000 sq ft</t>
  </si>
  <si>
    <t xml:space="preserve">4.5 acres</t>
  </si>
  <si>
    <t xml:space="preserve">Austin ISD-owned &amp; operating (354 students in 2023-24; closure approved after 2025-26 school year, students to Reilly ES</t>
  </si>
  <si>
    <t xml:space="preserve">Average (62% score); dated appearance, undersized gym/cafeteria/kitchen/studios, poor admin acoustics, deficient portabl</t>
  </si>
  <si>
    <t xml:space="preserve">Residential (Hyde Park neighborhood, central Austin urban setting near Shipe Park) ([HPNA](https://www.austinhydepark.or</t>
  </si>
  <si>
    <t xml:space="preserve">None found (no asbestos, structural, or flood issues noted; limited parking, accessibility steps to outdoor studios) ([E</t>
  </si>
  <si>
    <t xml:space="preserve">$4,780,000</t>
  </si>
  <si>
    <t xml:space="preserve">$15,740,000</t>
  </si>
  <si>
    <t xml:space="preserve">Reason Not Viable</t>
  </si>
  <si>
    <t xml:space="preserve">Notes</t>
  </si>
  <si>
    <t xml:space="preserve">Active school under $158M modernization (new building 2027)</t>
  </si>
  <si>
    <t xml:space="preserve">Note: Contrary to "former school property" assumption, Burnet Middle School is active (798 students 2023-24, operational). Undergoing $158M modernizat</t>
  </si>
  <si>
    <t xml:space="preserve">Currently active school, not closing</t>
  </si>
  <si>
    <t xml:space="preserve">This is an active Austin ISD elementary school (549 students in 2023-24) currently undergoing full modernization/rebuild under the 2022 Bond Program (</t>
  </si>
  <si>
    <t xml:space="preserve">Not sold or vacant; AISD-owned. Undergoing TEA turnaround restart (new staff/curriculum 2026-27) + full modernization/demolition/rebuild (complete fal</t>
  </si>
  <si>
    <t xml:space="preserve">Number of buildings on campus was not explicitly stated in the AISD FCA summary; AISD notes an original 1939 structure with additions in 1949 and 1999</t>
  </si>
  <si>
    <t xml:space="preserve">Already sold/repurposed</t>
  </si>
  <si>
    <t xml:space="preserve">Former school closed after 2019-2020; now houses AISD administrative departments (Health Services, Library Media, STEM, Construction Mgmt, Planning). </t>
  </si>
  <si>
    <t xml:space="preserve">Likely 2 buildings (main + detached gym). Renovations funded by grants/nonprofit (~$18M raised by United Way + $3M federal). No TCAD geo ID found; sea</t>
  </si>
  <si>
    <t xml:space="preserve">Already sold/repurposed; Building too small; Lot too small</t>
  </si>
  <si>
    <t xml:space="preserve">No evidence found that 7301 Providence Ave was ever a school site; current listings show modern condos built 2019 (~1,400 sqft units, ~0.1 acre lots).</t>
  </si>
  <si>
    <t xml:space="preserve">Building too small; Lot too small</t>
  </si>
  <si>
    <t xml:space="preserve">Limited detailed specs available; property records require interactive HCAD search (not accessible via tools). Closure recent (Feb 2026); no sale info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</si>
</sst>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%"/>
    <numFmt numFmtId="168" formatCode="\$#,##0"/>
    <numFmt numFmtId="169" formatCode="\$#,##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343B"/>
      <name val="Arial"/>
      <family val="0"/>
      <charset val="1"/>
    </font>
    <font>
      <sz val="9"/>
      <color rgb="FF2E565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A84B2F"/>
      <name val="Arial"/>
      <family val="0"/>
      <charset val="1"/>
    </font>
    <font>
      <b val="true"/>
      <sz val="10"/>
      <color rgb="FF1334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2E565D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13343B"/>
      <name val="Arial"/>
      <family val="0"/>
      <charset val="1"/>
    </font>
    <font>
      <sz val="10"/>
      <color rgb="FF9C5700"/>
      <name val="Arial"/>
      <family val="0"/>
      <charset val="1"/>
    </font>
    <font>
      <b val="true"/>
      <sz val="18"/>
      <color rgb="FF13343B"/>
      <name val="Arial"/>
      <family val="0"/>
      <charset val="1"/>
    </font>
    <font>
      <b val="true"/>
      <sz val="14"/>
      <color rgb="FF13343B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3343B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1"/>
      <color rgb="FFD9E2F3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3343B"/>
        <bgColor rgb="FF333333"/>
      </patternFill>
    </fill>
    <fill>
      <patternFill patternType="solid">
        <fgColor rgb="FFD6F5FA"/>
        <bgColor rgb="FFE2EFDA"/>
      </patternFill>
    </fill>
    <fill>
      <patternFill patternType="solid">
        <fgColor rgb="FF20808D"/>
        <bgColor rgb="FF2E75B6"/>
      </patternFill>
    </fill>
    <fill>
      <patternFill patternType="solid">
        <fgColor rgb="FFBCE2E7"/>
        <bgColor rgb="FFC6EFCE"/>
      </patternFill>
    </fill>
    <fill>
      <patternFill patternType="solid">
        <fgColor rgb="FFC6EFCE"/>
        <bgColor rgb="FFBCE2E7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CE4D6"/>
      </patternFill>
    </fill>
    <fill>
      <patternFill patternType="solid">
        <fgColor rgb="FF1F4E79"/>
        <bgColor rgb="FF2E565D"/>
      </patternFill>
    </fill>
    <fill>
      <patternFill patternType="solid">
        <fgColor rgb="FFE2EFDA"/>
        <bgColor rgb="FFD6F5FA"/>
      </patternFill>
    </fill>
    <fill>
      <patternFill patternType="solid">
        <fgColor rgb="FF2E75B6"/>
        <bgColor rgb="FF20808D"/>
      </patternFill>
    </fill>
    <fill>
      <patternFill patternType="solid">
        <fgColor rgb="FFFCE4D6"/>
        <bgColor rgb="FFE2EFDA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9C5700"/>
      </patternFill>
    </fill>
    <fill>
      <patternFill patternType="solid">
        <fgColor rgb="FF00B050"/>
        <bgColor rgb="FF008080"/>
      </patternFill>
    </fill>
    <fill>
      <patternFill patternType="solid">
        <fgColor rgb="FFD9E2F3"/>
        <bgColor rgb="FFD9D9D9"/>
      </patternFill>
    </fill>
    <fill>
      <patternFill patternType="solid">
        <fgColor rgb="FFC00000"/>
        <bgColor rgb="FF9C0006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F5FA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8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2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1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1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1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F8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20808D"/>
      <rgbColor rgb="FFFCE4D6"/>
      <rgbColor rgb="FF808080"/>
      <rgbColor rgb="FF9999FF"/>
      <rgbColor rgb="FF9C5700"/>
      <rgbColor rgb="FFE2EFDA"/>
      <rgbColor rgb="FFD6F5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9E2F3"/>
      <rgbColor rgb="FFC6EFCE"/>
      <rgbColor rgb="FFFFEB9C"/>
      <rgbColor rgb="FFBCE2E7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666666"/>
      <rgbColor rgb="FF969696"/>
      <rgbColor rgb="FF13343B"/>
      <rgbColor rgb="FF00B050"/>
      <rgbColor rgb="FF003300"/>
      <rgbColor rgb="FF2E565D"/>
      <rgbColor rgb="FFA84B2F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9" min="5" style="0" width="14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5" t="s">
        <v>17</v>
      </c>
      <c r="E5" s="6" t="n">
        <v>18094.7</v>
      </c>
      <c r="F5" s="6" t="n">
        <v>16923.5</v>
      </c>
      <c r="G5" s="6" t="n">
        <v>15417.4</v>
      </c>
      <c r="H5" s="6" t="n">
        <v>14149.6</v>
      </c>
      <c r="I5" s="6" t="n">
        <v>13057</v>
      </c>
      <c r="J5" s="6" t="n">
        <v>59494.5</v>
      </c>
      <c r="K5" s="6" t="n">
        <v>178546</v>
      </c>
      <c r="L5" s="7" t="n">
        <v>100</v>
      </c>
    </row>
    <row r="6" customFormat="false" ht="15" hidden="false" customHeight="false" outlineLevel="0" collapsed="false">
      <c r="A6" s="4" t="s">
        <v>18</v>
      </c>
      <c r="B6" s="4" t="s">
        <v>15</v>
      </c>
      <c r="C6" s="4" t="s">
        <v>16</v>
      </c>
      <c r="D6" s="5" t="s">
        <v>17</v>
      </c>
      <c r="E6" s="6" t="n">
        <v>9401</v>
      </c>
      <c r="F6" s="6" t="n">
        <v>8485</v>
      </c>
      <c r="G6" s="6" t="n">
        <v>7633.8</v>
      </c>
      <c r="H6" s="6" t="n">
        <v>6865.7</v>
      </c>
      <c r="I6" s="6" t="n">
        <v>6187.4</v>
      </c>
      <c r="J6" s="6" t="n">
        <v>48753.4</v>
      </c>
      <c r="K6" s="6" t="n">
        <v>156910</v>
      </c>
      <c r="L6" s="7" t="n">
        <v>73.5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4"/>
      <c r="E7" s="6" t="n">
        <v>7091.4</v>
      </c>
      <c r="F7" s="6" t="n">
        <v>6641.9</v>
      </c>
      <c r="G7" s="6" t="n">
        <v>5788.7</v>
      </c>
      <c r="H7" s="6" t="n">
        <v>4960.9</v>
      </c>
      <c r="I7" s="6" t="n">
        <v>4279.4</v>
      </c>
      <c r="J7" s="6" t="n">
        <v>47201.7</v>
      </c>
      <c r="K7" s="6" t="n">
        <v>99946</v>
      </c>
      <c r="L7" s="7" t="n">
        <v>66.1</v>
      </c>
    </row>
    <row r="8" customFormat="false" ht="15" hidden="false" customHeight="false" outlineLevel="0" collapsed="false">
      <c r="A8" s="4" t="s">
        <v>22</v>
      </c>
      <c r="B8" s="4" t="s">
        <v>20</v>
      </c>
      <c r="C8" s="4" t="s">
        <v>16</v>
      </c>
      <c r="D8" s="5" t="s">
        <v>17</v>
      </c>
      <c r="E8" s="6" t="n">
        <v>7009.1</v>
      </c>
      <c r="F8" s="6" t="n">
        <v>6565.1</v>
      </c>
      <c r="G8" s="6" t="n">
        <v>5752.6</v>
      </c>
      <c r="H8" s="6" t="n">
        <v>4952.9</v>
      </c>
      <c r="I8" s="6" t="n">
        <v>4284.7</v>
      </c>
      <c r="J8" s="6" t="n">
        <v>39961.4</v>
      </c>
      <c r="K8" s="6" t="n">
        <v>83869</v>
      </c>
      <c r="L8" s="7" t="n">
        <v>63.3</v>
      </c>
    </row>
    <row r="9" customFormat="false" ht="15" hidden="false" customHeight="false" outlineLevel="0" collapsed="false">
      <c r="A9" s="4" t="s">
        <v>23</v>
      </c>
      <c r="B9" s="4" t="s">
        <v>20</v>
      </c>
      <c r="C9" s="4" t="s">
        <v>21</v>
      </c>
      <c r="D9" s="5" t="s">
        <v>17</v>
      </c>
      <c r="E9" s="6" t="n">
        <v>6627.2</v>
      </c>
      <c r="F9" s="6" t="n">
        <v>6235.3</v>
      </c>
      <c r="G9" s="6" t="n">
        <v>5542.2</v>
      </c>
      <c r="H9" s="6" t="n">
        <v>4851.7</v>
      </c>
      <c r="I9" s="6" t="n">
        <v>4237</v>
      </c>
      <c r="J9" s="6" t="n">
        <v>39214.1</v>
      </c>
      <c r="K9" s="6" t="n">
        <v>82636</v>
      </c>
      <c r="L9" s="7" t="n">
        <v>62.8</v>
      </c>
    </row>
    <row r="10" customFormat="false" ht="15" hidden="false" customHeight="false" outlineLevel="0" collapsed="false">
      <c r="A10" s="4" t="s">
        <v>24</v>
      </c>
      <c r="B10" s="4" t="s">
        <v>15</v>
      </c>
      <c r="C10" s="4" t="s">
        <v>21</v>
      </c>
      <c r="D10" s="4"/>
      <c r="E10" s="6" t="n">
        <v>6242.8</v>
      </c>
      <c r="F10" s="6" t="n">
        <v>5571.6</v>
      </c>
      <c r="G10" s="6" t="n">
        <v>5002.4</v>
      </c>
      <c r="H10" s="6" t="n">
        <v>4447.5</v>
      </c>
      <c r="I10" s="6" t="n">
        <v>3965.9</v>
      </c>
      <c r="J10" s="6" t="n">
        <v>39302.6</v>
      </c>
      <c r="K10" s="6" t="n">
        <v>112572</v>
      </c>
      <c r="L10" s="7" t="n">
        <v>62</v>
      </c>
    </row>
    <row r="11" customFormat="false" ht="15" hidden="false" customHeight="false" outlineLevel="0" collapsed="false">
      <c r="A11" s="4" t="s">
        <v>25</v>
      </c>
      <c r="B11" s="4" t="s">
        <v>15</v>
      </c>
      <c r="C11" s="4" t="s">
        <v>21</v>
      </c>
      <c r="D11" s="5" t="s">
        <v>17</v>
      </c>
      <c r="E11" s="6" t="n">
        <v>5473.6</v>
      </c>
      <c r="F11" s="6" t="n">
        <v>4896.8</v>
      </c>
      <c r="G11" s="6" t="n">
        <v>4332.9</v>
      </c>
      <c r="H11" s="6" t="n">
        <v>3809.5</v>
      </c>
      <c r="I11" s="6" t="n">
        <v>3375</v>
      </c>
      <c r="J11" s="6" t="n">
        <v>43020.9</v>
      </c>
      <c r="K11" s="6" t="n">
        <v>114917</v>
      </c>
      <c r="L11" s="7" t="n">
        <v>62</v>
      </c>
    </row>
    <row r="12" customFormat="false" ht="15" hidden="false" customHeight="false" outlineLevel="0" collapsed="false">
      <c r="A12" s="4" t="s">
        <v>26</v>
      </c>
      <c r="B12" s="4" t="s">
        <v>20</v>
      </c>
      <c r="C12" s="4" t="s">
        <v>21</v>
      </c>
      <c r="D12" s="4"/>
      <c r="E12" s="6" t="n">
        <v>5673.1</v>
      </c>
      <c r="F12" s="6" t="n">
        <v>5458.3</v>
      </c>
      <c r="G12" s="6" t="n">
        <v>5060.6</v>
      </c>
      <c r="H12" s="6" t="n">
        <v>4667.1</v>
      </c>
      <c r="I12" s="6" t="n">
        <v>4053.1</v>
      </c>
      <c r="J12" s="6" t="n">
        <v>40242.9</v>
      </c>
      <c r="K12" s="6" t="n">
        <v>71443</v>
      </c>
      <c r="L12" s="7" t="n">
        <v>60.2</v>
      </c>
    </row>
    <row r="13" customFormat="false" ht="15" hidden="false" customHeight="false" outlineLevel="0" collapsed="false">
      <c r="A13" s="4" t="s">
        <v>27</v>
      </c>
      <c r="B13" s="4" t="s">
        <v>15</v>
      </c>
      <c r="C13" s="4" t="s">
        <v>16</v>
      </c>
      <c r="D13" s="5" t="s">
        <v>17</v>
      </c>
      <c r="E13" s="6" t="n">
        <v>15291.5</v>
      </c>
      <c r="F13" s="6" t="n">
        <v>14424.6</v>
      </c>
      <c r="G13" s="6" t="n">
        <v>13193</v>
      </c>
      <c r="H13" s="6" t="n">
        <v>12126.7</v>
      </c>
      <c r="I13" s="6" t="n">
        <v>11247.9</v>
      </c>
      <c r="J13" s="6" t="n">
        <v>39695.2</v>
      </c>
      <c r="K13" s="6" t="n">
        <v>123500</v>
      </c>
      <c r="L13" s="7" t="n">
        <v>54.5</v>
      </c>
    </row>
    <row r="14" customFormat="false" ht="15" hidden="false" customHeight="false" outlineLevel="0" collapsed="false">
      <c r="A14" s="4" t="s">
        <v>28</v>
      </c>
      <c r="B14" s="4" t="s">
        <v>15</v>
      </c>
      <c r="C14" s="4" t="s">
        <v>21</v>
      </c>
      <c r="D14" s="4"/>
      <c r="E14" s="6" t="n">
        <v>6262</v>
      </c>
      <c r="F14" s="6" t="n">
        <v>5645.1</v>
      </c>
      <c r="G14" s="6" t="n">
        <v>4922.9</v>
      </c>
      <c r="H14" s="6" t="n">
        <v>4405.3</v>
      </c>
      <c r="I14" s="6" t="n">
        <v>3884.7</v>
      </c>
      <c r="J14" s="6" t="n">
        <v>40052.1</v>
      </c>
      <c r="K14" s="6" t="n">
        <v>145720</v>
      </c>
      <c r="L14" s="7" t="n">
        <v>54.1</v>
      </c>
    </row>
    <row r="15" customFormat="false" ht="15" hidden="false" customHeight="false" outlineLevel="0" collapsed="false">
      <c r="A15" s="4" t="s">
        <v>29</v>
      </c>
      <c r="B15" s="4" t="s">
        <v>20</v>
      </c>
      <c r="C15" s="4" t="s">
        <v>21</v>
      </c>
      <c r="D15" s="4"/>
      <c r="E15" s="6" t="n">
        <v>5297.4</v>
      </c>
      <c r="F15" s="6" t="n">
        <v>4941.6</v>
      </c>
      <c r="G15" s="6" t="n">
        <v>4354.2</v>
      </c>
      <c r="H15" s="6" t="n">
        <v>3781.1</v>
      </c>
      <c r="I15" s="6" t="n">
        <v>3317.7</v>
      </c>
      <c r="J15" s="6" t="n">
        <v>30974.3</v>
      </c>
      <c r="K15" s="6" t="n">
        <v>68627</v>
      </c>
      <c r="L15" s="7" t="n">
        <v>52.2</v>
      </c>
    </row>
    <row r="16" customFormat="false" ht="15" hidden="false" customHeight="false" outlineLevel="0" collapsed="false">
      <c r="A16" s="4" t="s">
        <v>30</v>
      </c>
      <c r="B16" s="4" t="s">
        <v>20</v>
      </c>
      <c r="C16" s="4" t="s">
        <v>21</v>
      </c>
      <c r="D16" s="4"/>
      <c r="E16" s="6" t="n">
        <v>6410.9</v>
      </c>
      <c r="F16" s="6" t="n">
        <v>5947.7</v>
      </c>
      <c r="G16" s="6" t="n">
        <v>5076.4</v>
      </c>
      <c r="H16" s="6" t="n">
        <v>4229.5</v>
      </c>
      <c r="I16" s="6" t="n">
        <v>3599.2</v>
      </c>
      <c r="J16" s="6" t="n">
        <v>46376.5</v>
      </c>
      <c r="K16" s="6" t="n">
        <v>96247</v>
      </c>
      <c r="L16" s="7" t="n">
        <v>51.3</v>
      </c>
    </row>
    <row r="17" customFormat="false" ht="15" hidden="false" customHeight="false" outlineLevel="0" collapsed="false">
      <c r="A17" s="4" t="s">
        <v>31</v>
      </c>
      <c r="B17" s="4" t="s">
        <v>20</v>
      </c>
      <c r="C17" s="4" t="s">
        <v>21</v>
      </c>
      <c r="D17" s="4"/>
      <c r="E17" s="6" t="n">
        <v>4646.2</v>
      </c>
      <c r="F17" s="6" t="n">
        <v>4544.1</v>
      </c>
      <c r="G17" s="6" t="n">
        <v>4317.6</v>
      </c>
      <c r="H17" s="6" t="n">
        <v>4094.3</v>
      </c>
      <c r="I17" s="6" t="n">
        <v>3565.8</v>
      </c>
      <c r="J17" s="6" t="n">
        <v>30843.1</v>
      </c>
      <c r="K17" s="6" t="n">
        <v>51486</v>
      </c>
      <c r="L17" s="7" t="n">
        <v>46.6</v>
      </c>
    </row>
    <row r="18" customFormat="false" ht="15" hidden="false" customHeight="false" outlineLevel="0" collapsed="false">
      <c r="A18" s="4" t="s">
        <v>32</v>
      </c>
      <c r="B18" s="4" t="s">
        <v>20</v>
      </c>
      <c r="C18" s="4" t="s">
        <v>33</v>
      </c>
      <c r="D18" s="4"/>
      <c r="E18" s="6" t="n">
        <v>4363.1</v>
      </c>
      <c r="F18" s="6" t="n">
        <v>4032.8</v>
      </c>
      <c r="G18" s="6" t="n">
        <v>3507.7</v>
      </c>
      <c r="H18" s="6" t="n">
        <v>3006.2</v>
      </c>
      <c r="I18" s="6" t="n">
        <v>2619.5</v>
      </c>
      <c r="J18" s="6" t="n">
        <v>28605.7</v>
      </c>
      <c r="K18" s="6" t="n">
        <v>66912</v>
      </c>
      <c r="L18" s="7" t="n">
        <v>44.5</v>
      </c>
    </row>
    <row r="19" customFormat="false" ht="15" hidden="false" customHeight="false" outlineLevel="0" collapsed="false">
      <c r="A19" s="4" t="s">
        <v>34</v>
      </c>
      <c r="B19" s="4" t="s">
        <v>20</v>
      </c>
      <c r="C19" s="4" t="s">
        <v>16</v>
      </c>
      <c r="D19" s="4"/>
      <c r="E19" s="6" t="n">
        <v>4530.6</v>
      </c>
      <c r="F19" s="6" t="n">
        <v>4258</v>
      </c>
      <c r="G19" s="6" t="n">
        <v>3794.1</v>
      </c>
      <c r="H19" s="6" t="n">
        <v>3345.9</v>
      </c>
      <c r="I19" s="6" t="n">
        <v>2941.3</v>
      </c>
      <c r="J19" s="6" t="n">
        <v>27209.4</v>
      </c>
      <c r="K19" s="6" t="n">
        <v>61145</v>
      </c>
      <c r="L19" s="7" t="n">
        <v>43.8</v>
      </c>
    </row>
    <row r="20" customFormat="false" ht="15" hidden="false" customHeight="false" outlineLevel="0" collapsed="false">
      <c r="A20" s="4" t="s">
        <v>35</v>
      </c>
      <c r="B20" s="4" t="s">
        <v>20</v>
      </c>
      <c r="C20" s="4" t="s">
        <v>16</v>
      </c>
      <c r="D20" s="4"/>
      <c r="E20" s="6" t="n">
        <v>5022.5</v>
      </c>
      <c r="F20" s="6" t="n">
        <v>4655.3</v>
      </c>
      <c r="G20" s="6" t="n">
        <v>4037</v>
      </c>
      <c r="H20" s="6" t="n">
        <v>3430.3</v>
      </c>
      <c r="I20" s="6" t="n">
        <v>2986.3</v>
      </c>
      <c r="J20" s="6" t="n">
        <v>34655</v>
      </c>
      <c r="K20" s="6" t="n">
        <v>77229</v>
      </c>
      <c r="L20" s="7" t="n">
        <v>42.9</v>
      </c>
    </row>
    <row r="21" customFormat="false" ht="15" hidden="false" customHeight="false" outlineLevel="0" collapsed="false">
      <c r="A21" s="4" t="s">
        <v>36</v>
      </c>
      <c r="B21" s="4" t="s">
        <v>20</v>
      </c>
      <c r="C21" s="4" t="s">
        <v>33</v>
      </c>
      <c r="D21" s="4"/>
      <c r="E21" s="6" t="n">
        <v>6677.5</v>
      </c>
      <c r="F21" s="6" t="n">
        <v>6209.5</v>
      </c>
      <c r="G21" s="6" t="n">
        <v>5325.3</v>
      </c>
      <c r="H21" s="6" t="n">
        <v>4474.1</v>
      </c>
      <c r="I21" s="6" t="n">
        <v>3826.4</v>
      </c>
      <c r="J21" s="6" t="n">
        <v>49409.8</v>
      </c>
      <c r="K21" s="6" t="n">
        <v>101519</v>
      </c>
      <c r="L21" s="7" t="n">
        <v>36.6</v>
      </c>
    </row>
    <row r="22" customFormat="false" ht="15" hidden="false" customHeight="false" outlineLevel="0" collapsed="false">
      <c r="A22" s="4" t="s">
        <v>37</v>
      </c>
      <c r="B22" s="4" t="s">
        <v>15</v>
      </c>
      <c r="C22" s="4" t="s">
        <v>38</v>
      </c>
      <c r="D22" s="4"/>
      <c r="E22" s="6" t="n">
        <v>6657.2</v>
      </c>
      <c r="F22" s="6" t="n">
        <v>5826.6</v>
      </c>
      <c r="G22" s="6" t="n">
        <v>5195.5</v>
      </c>
      <c r="H22" s="6" t="n">
        <v>4678.8</v>
      </c>
      <c r="I22" s="6" t="n">
        <v>4207</v>
      </c>
      <c r="J22" s="6" t="n">
        <v>43327.4</v>
      </c>
      <c r="K22" s="6" t="n">
        <v>156593</v>
      </c>
      <c r="L22" s="7" t="n">
        <v>34.7</v>
      </c>
    </row>
    <row r="23" customFormat="false" ht="15" hidden="false" customHeight="false" outlineLevel="0" collapsed="false">
      <c r="A23" s="4" t="s">
        <v>39</v>
      </c>
      <c r="B23" s="4" t="s">
        <v>20</v>
      </c>
      <c r="C23" s="4" t="s">
        <v>33</v>
      </c>
      <c r="D23" s="4"/>
      <c r="E23" s="6" t="n">
        <v>5277.4</v>
      </c>
      <c r="F23" s="6" t="n">
        <v>4857.1</v>
      </c>
      <c r="G23" s="6" t="n">
        <v>4086.4</v>
      </c>
      <c r="H23" s="6" t="n">
        <v>3354</v>
      </c>
      <c r="I23" s="6" t="n">
        <v>2836.1</v>
      </c>
      <c r="J23" s="6" t="n">
        <v>35619.4</v>
      </c>
      <c r="K23" s="6" t="n">
        <v>78303</v>
      </c>
      <c r="L23" s="7" t="n">
        <v>34.6</v>
      </c>
    </row>
    <row r="24" customFormat="false" ht="15" hidden="false" customHeight="false" outlineLevel="0" collapsed="false">
      <c r="A24" s="4" t="s">
        <v>40</v>
      </c>
      <c r="B24" s="4" t="s">
        <v>15</v>
      </c>
      <c r="C24" s="4" t="s">
        <v>38</v>
      </c>
      <c r="D24" s="4"/>
      <c r="E24" s="6" t="n">
        <v>6578</v>
      </c>
      <c r="F24" s="6" t="n">
        <v>5761</v>
      </c>
      <c r="G24" s="6" t="n">
        <v>5116.9</v>
      </c>
      <c r="H24" s="6" t="n">
        <v>4586.7</v>
      </c>
      <c r="I24" s="6" t="n">
        <v>4102.5</v>
      </c>
      <c r="J24" s="6" t="n">
        <v>43517.7</v>
      </c>
      <c r="K24" s="6" t="n">
        <v>156903</v>
      </c>
      <c r="L24" s="7" t="n">
        <v>34.5</v>
      </c>
    </row>
    <row r="25" customFormat="false" ht="15" hidden="false" customHeight="false" outlineLevel="0" collapsed="false">
      <c r="A25" s="4" t="s">
        <v>41</v>
      </c>
      <c r="B25" s="4" t="s">
        <v>15</v>
      </c>
      <c r="C25" s="4" t="s">
        <v>38</v>
      </c>
      <c r="D25" s="4"/>
      <c r="E25" s="6" t="n">
        <v>7352</v>
      </c>
      <c r="F25" s="6" t="n">
        <v>6673.6</v>
      </c>
      <c r="G25" s="6" t="n">
        <v>5917.2</v>
      </c>
      <c r="H25" s="6" t="n">
        <v>5196.4</v>
      </c>
      <c r="I25" s="6" t="n">
        <v>4622.1</v>
      </c>
      <c r="J25" s="6" t="n">
        <v>39100.4</v>
      </c>
      <c r="K25" s="6" t="n">
        <v>105252</v>
      </c>
      <c r="L25" s="7" t="n">
        <v>33.9</v>
      </c>
    </row>
    <row r="26" customFormat="false" ht="15" hidden="false" customHeight="false" outlineLevel="0" collapsed="false">
      <c r="A26" s="4" t="s">
        <v>42</v>
      </c>
      <c r="B26" s="4" t="s">
        <v>20</v>
      </c>
      <c r="C26" s="4" t="s">
        <v>38</v>
      </c>
      <c r="D26" s="4"/>
      <c r="E26" s="6" t="n">
        <v>6903.6</v>
      </c>
      <c r="F26" s="6" t="n">
        <v>6612.8</v>
      </c>
      <c r="G26" s="6" t="n">
        <v>6071.7</v>
      </c>
      <c r="H26" s="6" t="n">
        <v>5532.8</v>
      </c>
      <c r="I26" s="6" t="n">
        <v>4835.5</v>
      </c>
      <c r="J26" s="6" t="n">
        <v>35555.7</v>
      </c>
      <c r="K26" s="6" t="n">
        <v>66983</v>
      </c>
      <c r="L26" s="7" t="n">
        <v>32.7</v>
      </c>
    </row>
    <row r="27" customFormat="false" ht="15" hidden="false" customHeight="false" outlineLevel="0" collapsed="false">
      <c r="A27" s="4" t="s">
        <v>43</v>
      </c>
      <c r="B27" s="4" t="s">
        <v>15</v>
      </c>
      <c r="C27" s="4" t="s">
        <v>33</v>
      </c>
      <c r="D27" s="4"/>
      <c r="E27" s="6" t="n">
        <v>3987.4</v>
      </c>
      <c r="F27" s="6" t="n">
        <v>3547.6</v>
      </c>
      <c r="G27" s="6" t="n">
        <v>3137</v>
      </c>
      <c r="H27" s="6" t="n">
        <v>2765.2</v>
      </c>
      <c r="I27" s="6" t="n">
        <v>2450</v>
      </c>
      <c r="J27" s="6" t="n">
        <v>23016.1</v>
      </c>
      <c r="K27" s="6" t="n">
        <v>82547</v>
      </c>
      <c r="L27" s="7" t="n">
        <v>29.8</v>
      </c>
    </row>
    <row r="28" customFormat="false" ht="15" hidden="false" customHeight="false" outlineLevel="0" collapsed="false">
      <c r="A28" s="4" t="s">
        <v>44</v>
      </c>
      <c r="B28" s="4" t="s">
        <v>15</v>
      </c>
      <c r="C28" s="4" t="s">
        <v>38</v>
      </c>
      <c r="D28" s="4"/>
      <c r="E28" s="6" t="n">
        <v>5891.8</v>
      </c>
      <c r="F28" s="6" t="n">
        <v>5253.3</v>
      </c>
      <c r="G28" s="6" t="n">
        <v>4677.6</v>
      </c>
      <c r="H28" s="6" t="n">
        <v>4133.4</v>
      </c>
      <c r="I28" s="6" t="n">
        <v>3667.9</v>
      </c>
      <c r="J28" s="6" t="n">
        <v>34738.3</v>
      </c>
      <c r="K28" s="6" t="n">
        <v>111927</v>
      </c>
      <c r="L28" s="7" t="n">
        <v>28.8</v>
      </c>
    </row>
    <row r="29" customFormat="false" ht="15" hidden="false" customHeight="false" outlineLevel="0" collapsed="false">
      <c r="A29" s="4" t="s">
        <v>45</v>
      </c>
      <c r="B29" s="4" t="s">
        <v>20</v>
      </c>
      <c r="C29" s="4" t="s">
        <v>38</v>
      </c>
      <c r="D29" s="4"/>
      <c r="E29" s="6" t="n">
        <v>5655.2</v>
      </c>
      <c r="F29" s="6" t="n">
        <v>5316.8</v>
      </c>
      <c r="G29" s="6" t="n">
        <v>4771</v>
      </c>
      <c r="H29" s="6" t="n">
        <v>4243.6</v>
      </c>
      <c r="I29" s="6" t="n">
        <v>3705.2</v>
      </c>
      <c r="J29" s="6" t="n">
        <v>32952</v>
      </c>
      <c r="K29" s="6" t="n">
        <v>70770</v>
      </c>
      <c r="L29" s="7" t="n">
        <v>28</v>
      </c>
    </row>
    <row r="30" customFormat="false" ht="15" hidden="false" customHeight="false" outlineLevel="0" collapsed="false">
      <c r="A30" s="4" t="s">
        <v>46</v>
      </c>
      <c r="B30" s="4" t="s">
        <v>15</v>
      </c>
      <c r="C30" s="4" t="s">
        <v>33</v>
      </c>
      <c r="D30" s="4"/>
      <c r="E30" s="6" t="n">
        <v>5670.4</v>
      </c>
      <c r="F30" s="6" t="n">
        <v>5322.7</v>
      </c>
      <c r="G30" s="6" t="n">
        <v>4627.4</v>
      </c>
      <c r="H30" s="6" t="n">
        <v>4134.5</v>
      </c>
      <c r="I30" s="6" t="n">
        <v>3649.4</v>
      </c>
      <c r="J30" s="6" t="n">
        <v>32493.3</v>
      </c>
      <c r="K30" s="6" t="n">
        <v>94095</v>
      </c>
      <c r="L30" s="7" t="n">
        <v>27.6</v>
      </c>
    </row>
    <row r="31" customFormat="false" ht="15" hidden="false" customHeight="false" outlineLevel="0" collapsed="false">
      <c r="A31" s="4" t="s">
        <v>47</v>
      </c>
      <c r="B31" s="4" t="s">
        <v>20</v>
      </c>
      <c r="C31" s="4" t="s">
        <v>21</v>
      </c>
      <c r="D31" s="4"/>
      <c r="E31" s="6" t="n">
        <v>2850.6</v>
      </c>
      <c r="F31" s="6" t="n">
        <v>2761.7</v>
      </c>
      <c r="G31" s="6" t="n">
        <v>2562</v>
      </c>
      <c r="H31" s="6" t="n">
        <v>2366.7</v>
      </c>
      <c r="I31" s="6" t="n">
        <v>2019.3</v>
      </c>
      <c r="J31" s="6" t="n">
        <v>28538.4</v>
      </c>
      <c r="K31" s="6" t="n">
        <v>51609</v>
      </c>
      <c r="L31" s="7" t="n">
        <v>26.2</v>
      </c>
    </row>
    <row r="32" customFormat="false" ht="15" hidden="false" customHeight="false" outlineLevel="0" collapsed="false">
      <c r="A32" s="4" t="s">
        <v>48</v>
      </c>
      <c r="B32" s="4" t="s">
        <v>20</v>
      </c>
      <c r="C32" s="4" t="s">
        <v>16</v>
      </c>
      <c r="D32" s="4"/>
      <c r="E32" s="6" t="n">
        <v>2104.1</v>
      </c>
      <c r="F32" s="6" t="n">
        <v>2010.1</v>
      </c>
      <c r="G32" s="6" t="n">
        <v>1800.3</v>
      </c>
      <c r="H32" s="6" t="n">
        <v>1603.9</v>
      </c>
      <c r="I32" s="6" t="n">
        <v>1362.9</v>
      </c>
      <c r="J32" s="6" t="n">
        <v>19391.2</v>
      </c>
      <c r="K32" s="6" t="n">
        <v>40322</v>
      </c>
      <c r="L32" s="7" t="n">
        <v>20.8</v>
      </c>
    </row>
    <row r="33" customFormat="false" ht="15" hidden="false" customHeight="false" outlineLevel="0" collapsed="false">
      <c r="A33" s="4" t="s">
        <v>49</v>
      </c>
      <c r="B33" s="4" t="s">
        <v>15</v>
      </c>
      <c r="C33" s="4" t="s">
        <v>38</v>
      </c>
      <c r="D33" s="4"/>
      <c r="E33" s="6" t="n">
        <v>3325</v>
      </c>
      <c r="F33" s="6" t="n">
        <v>2690.3</v>
      </c>
      <c r="G33" s="6" t="n">
        <v>2310.5</v>
      </c>
      <c r="H33" s="6" t="n">
        <v>2015.2</v>
      </c>
      <c r="I33" s="6" t="n">
        <v>1761.7</v>
      </c>
      <c r="J33" s="6" t="n">
        <v>29443.1</v>
      </c>
      <c r="K33" s="6" t="n">
        <v>119610</v>
      </c>
      <c r="L33" s="7" t="n">
        <v>20.2</v>
      </c>
    </row>
    <row r="34" customFormat="false" ht="15" hidden="false" customHeight="false" outlineLevel="0" collapsed="false">
      <c r="A34" s="4" t="s">
        <v>50</v>
      </c>
      <c r="B34" s="4" t="s">
        <v>15</v>
      </c>
      <c r="C34" s="4" t="s">
        <v>16</v>
      </c>
      <c r="D34" s="4"/>
      <c r="E34" s="6" t="n">
        <v>2462.7</v>
      </c>
      <c r="F34" s="6" t="n">
        <v>1998.3</v>
      </c>
      <c r="G34" s="6" t="n">
        <v>1648.1</v>
      </c>
      <c r="H34" s="6" t="n">
        <v>1365.3</v>
      </c>
      <c r="I34" s="6" t="n">
        <v>1071.7</v>
      </c>
      <c r="J34" s="6" t="n">
        <v>30426.2</v>
      </c>
      <c r="K34" s="6" t="n">
        <v>125890</v>
      </c>
      <c r="L34" s="7" t="n">
        <v>18.6</v>
      </c>
    </row>
    <row r="35" customFormat="false" ht="15" hidden="false" customHeight="false" outlineLevel="0" collapsed="false">
      <c r="A35" s="4" t="s">
        <v>51</v>
      </c>
      <c r="B35" s="4" t="s">
        <v>15</v>
      </c>
      <c r="C35" s="4" t="s">
        <v>38</v>
      </c>
      <c r="D35" s="4"/>
      <c r="E35" s="6" t="n">
        <v>3190.8</v>
      </c>
      <c r="F35" s="6" t="n">
        <v>2805.2</v>
      </c>
      <c r="G35" s="6" t="n">
        <v>2363.9</v>
      </c>
      <c r="H35" s="6" t="n">
        <v>2055.9</v>
      </c>
      <c r="I35" s="6" t="n">
        <v>1720.3</v>
      </c>
      <c r="J35" s="6" t="n">
        <v>25741.6</v>
      </c>
      <c r="K35" s="6" t="n">
        <v>100153</v>
      </c>
      <c r="L35" s="7" t="n">
        <v>18.3</v>
      </c>
    </row>
    <row r="36" customFormat="false" ht="15" hidden="false" customHeight="false" outlineLevel="0" collapsed="false">
      <c r="A36" s="4" t="s">
        <v>52</v>
      </c>
      <c r="B36" s="4" t="s">
        <v>15</v>
      </c>
      <c r="C36" s="4" t="s">
        <v>38</v>
      </c>
      <c r="D36" s="4"/>
      <c r="E36" s="6" t="n">
        <v>2281.4</v>
      </c>
      <c r="F36" s="6" t="n">
        <v>1721.8</v>
      </c>
      <c r="G36" s="6" t="n">
        <v>1448.5</v>
      </c>
      <c r="H36" s="6" t="n">
        <v>1243</v>
      </c>
      <c r="I36" s="6" t="n">
        <v>1058.4</v>
      </c>
      <c r="J36" s="6" t="n">
        <v>28057.6</v>
      </c>
      <c r="K36" s="6" t="n">
        <v>116659</v>
      </c>
      <c r="L36" s="7" t="n">
        <v>17.4</v>
      </c>
    </row>
    <row r="37" customFormat="false" ht="15" hidden="false" customHeight="false" outlineLevel="0" collapsed="false">
      <c r="A37" s="4" t="s">
        <v>53</v>
      </c>
      <c r="B37" s="4" t="s">
        <v>15</v>
      </c>
      <c r="C37" s="4" t="s">
        <v>38</v>
      </c>
      <c r="D37" s="4"/>
      <c r="E37" s="6" t="n">
        <v>1781.1</v>
      </c>
      <c r="F37" s="6" t="n">
        <v>1320.9</v>
      </c>
      <c r="G37" s="6" t="n">
        <v>1120.3</v>
      </c>
      <c r="H37" s="6" t="n">
        <v>961.8</v>
      </c>
      <c r="I37" s="6" t="n">
        <v>798.2</v>
      </c>
      <c r="J37" s="6" t="n">
        <v>25154.1</v>
      </c>
      <c r="K37" s="6" t="n">
        <v>102649</v>
      </c>
      <c r="L37" s="7" t="n">
        <v>15.1</v>
      </c>
    </row>
    <row r="38" customFormat="false" ht="15" hidden="false" customHeight="false" outlineLevel="0" collapsed="false">
      <c r="A38" s="4" t="s">
        <v>54</v>
      </c>
      <c r="B38" s="4" t="s">
        <v>15</v>
      </c>
      <c r="C38" s="4" t="s">
        <v>38</v>
      </c>
      <c r="D38" s="4"/>
      <c r="E38" s="6" t="n">
        <v>1836.5</v>
      </c>
      <c r="F38" s="6" t="n">
        <v>1415.7</v>
      </c>
      <c r="G38" s="6" t="n">
        <v>1179.7</v>
      </c>
      <c r="H38" s="6" t="n">
        <v>995.3</v>
      </c>
      <c r="I38" s="6" t="n">
        <v>794.2</v>
      </c>
      <c r="J38" s="6" t="n">
        <v>23625.7</v>
      </c>
      <c r="K38" s="6" t="n">
        <v>99872</v>
      </c>
      <c r="L38" s="7" t="n">
        <v>14.3</v>
      </c>
    </row>
    <row r="39" customFormat="false" ht="15" hidden="false" customHeight="false" outlineLevel="0" collapsed="false">
      <c r="A39" s="4" t="s">
        <v>55</v>
      </c>
      <c r="B39" s="4" t="s">
        <v>15</v>
      </c>
      <c r="C39" s="4" t="s">
        <v>38</v>
      </c>
      <c r="D39" s="4"/>
      <c r="E39" s="6" t="n">
        <v>2573.7</v>
      </c>
      <c r="F39" s="6" t="n">
        <v>2134.5</v>
      </c>
      <c r="G39" s="6" t="n">
        <v>1833.6</v>
      </c>
      <c r="H39" s="6" t="n">
        <v>1596.9</v>
      </c>
      <c r="I39" s="6" t="n">
        <v>1316.3</v>
      </c>
      <c r="J39" s="6" t="n">
        <v>19702.9</v>
      </c>
      <c r="K39" s="6" t="n">
        <v>81284</v>
      </c>
      <c r="L39" s="7" t="n">
        <v>14</v>
      </c>
    </row>
    <row r="40" customFormat="false" ht="15" hidden="false" customHeight="false" outlineLevel="0" collapsed="false">
      <c r="A40" s="4" t="s">
        <v>56</v>
      </c>
      <c r="B40" s="4" t="s">
        <v>15</v>
      </c>
      <c r="C40" s="4" t="s">
        <v>38</v>
      </c>
      <c r="D40" s="4"/>
      <c r="E40" s="6" t="n">
        <v>1309.6</v>
      </c>
      <c r="F40" s="6" t="n">
        <v>916.9</v>
      </c>
      <c r="G40" s="6" t="n">
        <v>747.6</v>
      </c>
      <c r="H40" s="6" t="n">
        <v>612.3</v>
      </c>
      <c r="I40" s="6" t="n">
        <v>489.5</v>
      </c>
      <c r="J40" s="6" t="n">
        <v>22708.5</v>
      </c>
      <c r="K40" s="6" t="n">
        <v>94145</v>
      </c>
      <c r="L40" s="7" t="n">
        <v>13</v>
      </c>
    </row>
    <row r="41" customFormat="false" ht="15" hidden="false" customHeight="false" outlineLevel="0" collapsed="false">
      <c r="A41" s="4" t="s">
        <v>57</v>
      </c>
      <c r="B41" s="4" t="s">
        <v>20</v>
      </c>
      <c r="C41" s="4" t="s">
        <v>38</v>
      </c>
      <c r="D41" s="5" t="s">
        <v>17</v>
      </c>
      <c r="E41" s="6" t="n">
        <v>790.4</v>
      </c>
      <c r="F41" s="6" t="n">
        <v>754.9</v>
      </c>
      <c r="G41" s="6" t="n">
        <v>637.7</v>
      </c>
      <c r="H41" s="6" t="n">
        <v>531.8</v>
      </c>
      <c r="I41" s="6" t="n">
        <v>432.9</v>
      </c>
      <c r="J41" s="6" t="n">
        <v>12327.7</v>
      </c>
      <c r="K41" s="6" t="n">
        <v>27444</v>
      </c>
      <c r="L41" s="7" t="n">
        <v>9.6</v>
      </c>
    </row>
  </sheetData>
  <mergeCells count="2">
    <mergeCell ref="A1:L1"/>
    <mergeCell ref="A2:L2"/>
  </mergeCells>
  <conditionalFormatting sqref="L5:L41">
    <cfRule type="colorScale" priority="2">
      <colorScale>
        <cfvo type="min" val="0"/>
        <cfvo type="max" val="0"/>
        <color rgb="FFFFFFFF"/>
        <color rgb="FF20808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11" min="6" style="0" width="13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30" hidden="false" customHeight="true" outlineLevel="0" collapsed="false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60</v>
      </c>
      <c r="D4" s="3" t="s">
        <v>61</v>
      </c>
      <c r="E4" s="3" t="s">
        <v>62</v>
      </c>
      <c r="F4" s="3" t="s">
        <v>63</v>
      </c>
      <c r="G4" s="3" t="s">
        <v>64</v>
      </c>
      <c r="H4" s="3" t="s">
        <v>65</v>
      </c>
      <c r="I4" s="3" t="s">
        <v>66</v>
      </c>
      <c r="J4" s="3" t="s">
        <v>67</v>
      </c>
      <c r="K4" s="3" t="s">
        <v>68</v>
      </c>
      <c r="L4" s="3" t="s">
        <v>69</v>
      </c>
      <c r="M4" s="3" t="s">
        <v>70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6" t="n">
        <v>81919</v>
      </c>
      <c r="E5" s="6" t="n">
        <v>655</v>
      </c>
      <c r="F5" s="6" t="n">
        <v>1809</v>
      </c>
      <c r="G5" s="6" t="n">
        <v>1692</v>
      </c>
      <c r="H5" s="6" t="n">
        <v>1542</v>
      </c>
      <c r="I5" s="6" t="n">
        <v>1415</v>
      </c>
      <c r="J5" s="6" t="n">
        <v>1306</v>
      </c>
      <c r="K5" s="6" t="n">
        <v>655</v>
      </c>
      <c r="L5" s="6" t="n">
        <v>655</v>
      </c>
      <c r="M5" s="8" t="n">
        <f aca="false">IF(E5=0,"N/A",L5/E5)</f>
        <v>1</v>
      </c>
    </row>
    <row r="6" customFormat="false" ht="15" hidden="false" customHeight="false" outlineLevel="0" collapsed="false">
      <c r="A6" s="4" t="s">
        <v>18</v>
      </c>
      <c r="B6" s="4" t="s">
        <v>15</v>
      </c>
      <c r="C6" s="4" t="s">
        <v>16</v>
      </c>
      <c r="D6" s="6" t="n">
        <v>35500</v>
      </c>
      <c r="E6" s="6" t="n">
        <v>284</v>
      </c>
      <c r="F6" s="6" t="n">
        <v>940</v>
      </c>
      <c r="G6" s="6" t="n">
        <v>848</v>
      </c>
      <c r="H6" s="6" t="n">
        <v>763</v>
      </c>
      <c r="I6" s="6" t="n">
        <v>687</v>
      </c>
      <c r="J6" s="6" t="n">
        <v>619</v>
      </c>
      <c r="K6" s="6" t="n">
        <v>284</v>
      </c>
      <c r="L6" s="6" t="n">
        <v>284</v>
      </c>
      <c r="M6" s="8" t="n">
        <f aca="false">IF(E6=0,"N/A",L6/E6)</f>
        <v>1</v>
      </c>
    </row>
    <row r="7" customFormat="false" ht="15" hidden="false" customHeight="false" outlineLevel="0" collapsed="false">
      <c r="A7" s="4" t="s">
        <v>19</v>
      </c>
      <c r="B7" s="4" t="s">
        <v>20</v>
      </c>
      <c r="C7" s="4" t="s">
        <v>21</v>
      </c>
      <c r="D7" s="6" t="n">
        <v>54971</v>
      </c>
      <c r="E7" s="6" t="n">
        <v>440</v>
      </c>
      <c r="F7" s="6" t="n">
        <v>709</v>
      </c>
      <c r="G7" s="6" t="n">
        <v>664</v>
      </c>
      <c r="H7" s="6" t="n">
        <v>579</v>
      </c>
      <c r="I7" s="6" t="n">
        <v>496</v>
      </c>
      <c r="J7" s="6" t="n">
        <v>428</v>
      </c>
      <c r="K7" s="6" t="n">
        <v>428</v>
      </c>
      <c r="L7" s="6" t="n">
        <v>440</v>
      </c>
      <c r="M7" s="8" t="n">
        <f aca="false">IF(E7=0,"N/A",L7/E7)</f>
        <v>1</v>
      </c>
    </row>
    <row r="8" customFormat="false" ht="15" hidden="false" customHeight="false" outlineLevel="0" collapsed="false">
      <c r="A8" s="4" t="s">
        <v>22</v>
      </c>
      <c r="B8" s="4" t="s">
        <v>20</v>
      </c>
      <c r="C8" s="4" t="s">
        <v>16</v>
      </c>
      <c r="D8" s="6" t="n">
        <v>41622</v>
      </c>
      <c r="E8" s="6" t="n">
        <v>333</v>
      </c>
      <c r="F8" s="6" t="n">
        <v>701</v>
      </c>
      <c r="G8" s="6" t="n">
        <v>657</v>
      </c>
      <c r="H8" s="6" t="n">
        <v>575</v>
      </c>
      <c r="I8" s="6" t="n">
        <v>495</v>
      </c>
      <c r="J8" s="6" t="n">
        <v>428</v>
      </c>
      <c r="K8" s="6" t="n">
        <v>333</v>
      </c>
      <c r="L8" s="6" t="n">
        <v>333</v>
      </c>
      <c r="M8" s="8" t="n">
        <f aca="false">IF(E8=0,"N/A",L8/E8)</f>
        <v>1</v>
      </c>
    </row>
    <row r="9" customFormat="false" ht="15" hidden="false" customHeight="false" outlineLevel="0" collapsed="false">
      <c r="A9" s="4" t="s">
        <v>23</v>
      </c>
      <c r="B9" s="4" t="s">
        <v>20</v>
      </c>
      <c r="C9" s="4" t="s">
        <v>21</v>
      </c>
      <c r="D9" s="6" t="n">
        <v>35000</v>
      </c>
      <c r="E9" s="6" t="n">
        <v>280</v>
      </c>
      <c r="F9" s="6" t="n">
        <v>663</v>
      </c>
      <c r="G9" s="6" t="n">
        <v>624</v>
      </c>
      <c r="H9" s="6" t="n">
        <v>554</v>
      </c>
      <c r="I9" s="6" t="n">
        <v>485</v>
      </c>
      <c r="J9" s="6" t="n">
        <v>424</v>
      </c>
      <c r="K9" s="6" t="n">
        <v>280</v>
      </c>
      <c r="L9" s="6" t="n">
        <v>280</v>
      </c>
      <c r="M9" s="8" t="n">
        <f aca="false">IF(E9=0,"N/A",L9/E9)</f>
        <v>1</v>
      </c>
    </row>
    <row r="10" customFormat="false" ht="15" hidden="false" customHeight="false" outlineLevel="0" collapsed="false">
      <c r="A10" s="4" t="s">
        <v>24</v>
      </c>
      <c r="B10" s="4" t="s">
        <v>15</v>
      </c>
      <c r="C10" s="4" t="s">
        <v>21</v>
      </c>
      <c r="D10" s="6" t="n">
        <v>42708</v>
      </c>
      <c r="E10" s="6" t="n">
        <v>342</v>
      </c>
      <c r="F10" s="6" t="n">
        <v>624</v>
      </c>
      <c r="G10" s="6" t="n">
        <v>557</v>
      </c>
      <c r="H10" s="6" t="n">
        <v>500</v>
      </c>
      <c r="I10" s="6" t="n">
        <v>445</v>
      </c>
      <c r="J10" s="6" t="n">
        <v>397</v>
      </c>
      <c r="K10" s="6" t="n">
        <v>342</v>
      </c>
      <c r="L10" s="6" t="n">
        <v>342</v>
      </c>
      <c r="M10" s="8" t="n">
        <f aca="false">IF(E10=0,"N/A",L10/E10)</f>
        <v>1</v>
      </c>
    </row>
    <row r="11" customFormat="false" ht="15" hidden="false" customHeight="false" outlineLevel="0" collapsed="false">
      <c r="A11" s="4" t="s">
        <v>25</v>
      </c>
      <c r="B11" s="4" t="s">
        <v>15</v>
      </c>
      <c r="C11" s="4" t="s">
        <v>21</v>
      </c>
      <c r="D11" s="6" t="n">
        <v>39756</v>
      </c>
      <c r="E11" s="6" t="n">
        <v>318</v>
      </c>
      <c r="F11" s="6" t="n">
        <v>547</v>
      </c>
      <c r="G11" s="6" t="n">
        <v>490</v>
      </c>
      <c r="H11" s="6" t="n">
        <v>433</v>
      </c>
      <c r="I11" s="6" t="n">
        <v>381</v>
      </c>
      <c r="J11" s="6" t="n">
        <v>338</v>
      </c>
      <c r="K11" s="6" t="n">
        <v>318</v>
      </c>
      <c r="L11" s="6" t="n">
        <v>318</v>
      </c>
      <c r="M11" s="8" t="n">
        <f aca="false">IF(E11=0,"N/A",L11/E11)</f>
        <v>1</v>
      </c>
    </row>
    <row r="12" customFormat="false" ht="15" hidden="false" customHeight="false" outlineLevel="0" collapsed="false">
      <c r="A12" s="4" t="s">
        <v>26</v>
      </c>
      <c r="B12" s="4" t="s">
        <v>20</v>
      </c>
      <c r="C12" s="4" t="s">
        <v>21</v>
      </c>
      <c r="D12" s="6" t="n">
        <v>55301</v>
      </c>
      <c r="E12" s="6" t="n">
        <v>442</v>
      </c>
      <c r="F12" s="6" t="n">
        <v>567</v>
      </c>
      <c r="G12" s="6" t="n">
        <v>546</v>
      </c>
      <c r="H12" s="6" t="n">
        <v>506</v>
      </c>
      <c r="I12" s="6" t="n">
        <v>467</v>
      </c>
      <c r="J12" s="6" t="n">
        <v>405</v>
      </c>
      <c r="K12" s="6" t="n">
        <v>405</v>
      </c>
      <c r="L12" s="6" t="n">
        <v>442</v>
      </c>
      <c r="M12" s="8" t="n">
        <f aca="false">IF(E12=0,"N/A",L12/E12)</f>
        <v>1</v>
      </c>
    </row>
    <row r="13" customFormat="false" ht="15" hidden="false" customHeight="false" outlineLevel="0" collapsed="false">
      <c r="A13" s="4" t="s">
        <v>27</v>
      </c>
      <c r="B13" s="4" t="s">
        <v>15</v>
      </c>
      <c r="C13" s="4" t="s">
        <v>16</v>
      </c>
      <c r="D13" s="6" t="n">
        <v>0</v>
      </c>
      <c r="E13" s="6" t="n">
        <v>0</v>
      </c>
      <c r="F13" s="6" t="n">
        <v>1529</v>
      </c>
      <c r="G13" s="6" t="n">
        <v>1442</v>
      </c>
      <c r="H13" s="6" t="n">
        <v>1319</v>
      </c>
      <c r="I13" s="6" t="n">
        <v>1213</v>
      </c>
      <c r="J13" s="6" t="n">
        <v>1125</v>
      </c>
      <c r="K13" s="6" t="n">
        <v>0</v>
      </c>
      <c r="L13" s="6" t="n">
        <v>0</v>
      </c>
      <c r="M13" s="8" t="str">
        <f aca="false">IF(E13=0,"N/A",L13/E13)</f>
        <v>N/A</v>
      </c>
    </row>
    <row r="14" customFormat="false" ht="15" hidden="false" customHeight="false" outlineLevel="0" collapsed="false">
      <c r="A14" s="4" t="s">
        <v>28</v>
      </c>
      <c r="B14" s="4" t="s">
        <v>15</v>
      </c>
      <c r="C14" s="4" t="s">
        <v>21</v>
      </c>
      <c r="D14" s="6" t="n">
        <v>66000</v>
      </c>
      <c r="E14" s="6" t="n">
        <v>528</v>
      </c>
      <c r="F14" s="6" t="n">
        <v>626</v>
      </c>
      <c r="G14" s="6" t="n">
        <v>565</v>
      </c>
      <c r="H14" s="6" t="n">
        <v>492</v>
      </c>
      <c r="I14" s="6" t="n">
        <v>441</v>
      </c>
      <c r="J14" s="6" t="n">
        <v>388</v>
      </c>
      <c r="K14" s="6" t="n">
        <v>388</v>
      </c>
      <c r="L14" s="6" t="n">
        <v>492</v>
      </c>
      <c r="M14" s="8" t="n">
        <f aca="false">IF(E14=0,"N/A",L14/E14)</f>
        <v>0.931818181818182</v>
      </c>
    </row>
    <row r="15" customFormat="false" ht="15" hidden="false" customHeight="false" outlineLevel="0" collapsed="false">
      <c r="A15" s="4" t="s">
        <v>29</v>
      </c>
      <c r="B15" s="4" t="s">
        <v>20</v>
      </c>
      <c r="C15" s="4" t="s">
        <v>21</v>
      </c>
      <c r="D15" s="6" t="n">
        <v>47100</v>
      </c>
      <c r="E15" s="6" t="n">
        <v>377</v>
      </c>
      <c r="F15" s="6" t="n">
        <v>530</v>
      </c>
      <c r="G15" s="6" t="n">
        <v>494</v>
      </c>
      <c r="H15" s="6" t="n">
        <v>435</v>
      </c>
      <c r="I15" s="6" t="n">
        <v>378</v>
      </c>
      <c r="J15" s="6" t="n">
        <v>332</v>
      </c>
      <c r="K15" s="6" t="n">
        <v>332</v>
      </c>
      <c r="L15" s="6" t="n">
        <v>377</v>
      </c>
      <c r="M15" s="8" t="n">
        <f aca="false">IF(E15=0,"N/A",L15/E15)</f>
        <v>1</v>
      </c>
    </row>
    <row r="16" customFormat="false" ht="15" hidden="false" customHeight="false" outlineLevel="0" collapsed="false">
      <c r="A16" s="4" t="s">
        <v>30</v>
      </c>
      <c r="B16" s="4" t="s">
        <v>20</v>
      </c>
      <c r="C16" s="4" t="s">
        <v>21</v>
      </c>
      <c r="D16" s="6" t="n">
        <v>80000</v>
      </c>
      <c r="E16" s="6" t="n">
        <v>640</v>
      </c>
      <c r="F16" s="6" t="n">
        <v>641</v>
      </c>
      <c r="G16" s="6" t="n">
        <v>595</v>
      </c>
      <c r="H16" s="6" t="n">
        <v>508</v>
      </c>
      <c r="I16" s="6" t="n">
        <v>423</v>
      </c>
      <c r="J16" s="6" t="n">
        <v>360</v>
      </c>
      <c r="K16" s="6" t="n">
        <v>360</v>
      </c>
      <c r="L16" s="6" t="n">
        <v>508</v>
      </c>
      <c r="M16" s="8" t="n">
        <f aca="false">IF(E16=0,"N/A",L16/E16)</f>
        <v>0.79375</v>
      </c>
    </row>
    <row r="17" customFormat="false" ht="15" hidden="false" customHeight="false" outlineLevel="0" collapsed="false">
      <c r="A17" s="4" t="s">
        <v>31</v>
      </c>
      <c r="B17" s="4" t="s">
        <v>20</v>
      </c>
      <c r="C17" s="4" t="s">
        <v>21</v>
      </c>
      <c r="D17" s="6" t="n">
        <v>66467</v>
      </c>
      <c r="E17" s="6" t="n">
        <v>532</v>
      </c>
      <c r="F17" s="6" t="n">
        <v>465</v>
      </c>
      <c r="G17" s="6" t="n">
        <v>454</v>
      </c>
      <c r="H17" s="6" t="n">
        <v>432</v>
      </c>
      <c r="I17" s="6" t="n">
        <v>409</v>
      </c>
      <c r="J17" s="6" t="n">
        <v>357</v>
      </c>
      <c r="K17" s="6" t="n">
        <v>357</v>
      </c>
      <c r="L17" s="6" t="n">
        <v>432</v>
      </c>
      <c r="M17" s="8" t="n">
        <f aca="false">IF(E17=0,"N/A",L17/E17)</f>
        <v>0.81203007518797</v>
      </c>
    </row>
    <row r="18" customFormat="false" ht="15" hidden="false" customHeight="false" outlineLevel="0" collapsed="false">
      <c r="A18" s="4" t="s">
        <v>32</v>
      </c>
      <c r="B18" s="4" t="s">
        <v>20</v>
      </c>
      <c r="C18" s="4" t="s">
        <v>33</v>
      </c>
      <c r="D18" s="6" t="n">
        <v>44444</v>
      </c>
      <c r="E18" s="6" t="n">
        <v>356</v>
      </c>
      <c r="F18" s="6" t="n">
        <v>436</v>
      </c>
      <c r="G18" s="6" t="n">
        <v>403</v>
      </c>
      <c r="H18" s="6" t="n">
        <v>351</v>
      </c>
      <c r="I18" s="6" t="n">
        <v>301</v>
      </c>
      <c r="J18" s="6" t="n">
        <v>262</v>
      </c>
      <c r="K18" s="6" t="n">
        <v>262</v>
      </c>
      <c r="L18" s="6" t="n">
        <v>351</v>
      </c>
      <c r="M18" s="8" t="n">
        <f aca="false">IF(E18=0,"N/A",L18/E18)</f>
        <v>0.985955056179775</v>
      </c>
    </row>
    <row r="19" customFormat="false" ht="15" hidden="false" customHeight="false" outlineLevel="0" collapsed="false">
      <c r="A19" s="4" t="s">
        <v>34</v>
      </c>
      <c r="B19" s="4" t="s">
        <v>20</v>
      </c>
      <c r="C19" s="4" t="s">
        <v>16</v>
      </c>
      <c r="D19" s="6" t="n">
        <v>52282</v>
      </c>
      <c r="E19" s="6" t="n">
        <v>418</v>
      </c>
      <c r="F19" s="6" t="n">
        <v>453</v>
      </c>
      <c r="G19" s="6" t="n">
        <v>426</v>
      </c>
      <c r="H19" s="6" t="n">
        <v>379</v>
      </c>
      <c r="I19" s="6" t="n">
        <v>335</v>
      </c>
      <c r="J19" s="6" t="n">
        <v>294</v>
      </c>
      <c r="K19" s="6" t="n">
        <v>294</v>
      </c>
      <c r="L19" s="6" t="n">
        <v>379</v>
      </c>
      <c r="M19" s="8" t="n">
        <f aca="false">IF(E19=0,"N/A",L19/E19)</f>
        <v>0.906698564593301</v>
      </c>
    </row>
    <row r="20" customFormat="false" ht="15" hidden="false" customHeight="false" outlineLevel="0" collapsed="false">
      <c r="A20" s="4" t="s">
        <v>35</v>
      </c>
      <c r="B20" s="4" t="s">
        <v>20</v>
      </c>
      <c r="C20" s="4" t="s">
        <v>16</v>
      </c>
      <c r="D20" s="6" t="n">
        <v>69000</v>
      </c>
      <c r="E20" s="6" t="n">
        <v>552</v>
      </c>
      <c r="F20" s="6" t="n">
        <v>502</v>
      </c>
      <c r="G20" s="6" t="n">
        <v>466</v>
      </c>
      <c r="H20" s="6" t="n">
        <v>404</v>
      </c>
      <c r="I20" s="6" t="n">
        <v>343</v>
      </c>
      <c r="J20" s="6" t="n">
        <v>299</v>
      </c>
      <c r="K20" s="6" t="n">
        <v>299</v>
      </c>
      <c r="L20" s="6" t="n">
        <v>404</v>
      </c>
      <c r="M20" s="8" t="n">
        <f aca="false">IF(E20=0,"N/A",L20/E20)</f>
        <v>0.731884057971015</v>
      </c>
    </row>
    <row r="21" customFormat="false" ht="15" hidden="false" customHeight="false" outlineLevel="0" collapsed="false">
      <c r="A21" s="4" t="s">
        <v>36</v>
      </c>
      <c r="B21" s="4" t="s">
        <v>20</v>
      </c>
      <c r="C21" s="4" t="s">
        <v>33</v>
      </c>
      <c r="D21" s="6" t="n">
        <v>0</v>
      </c>
      <c r="E21" s="6" t="n">
        <v>0</v>
      </c>
      <c r="F21" s="6" t="n">
        <v>668</v>
      </c>
      <c r="G21" s="6" t="n">
        <v>621</v>
      </c>
      <c r="H21" s="6" t="n">
        <v>533</v>
      </c>
      <c r="I21" s="6" t="n">
        <v>447</v>
      </c>
      <c r="J21" s="6" t="n">
        <v>383</v>
      </c>
      <c r="K21" s="6" t="n">
        <v>0</v>
      </c>
      <c r="L21" s="6" t="n">
        <v>0</v>
      </c>
      <c r="M21" s="8" t="str">
        <f aca="false">IF(E21=0,"N/A",L21/E21)</f>
        <v>N/A</v>
      </c>
    </row>
    <row r="22" customFormat="false" ht="15" hidden="false" customHeight="false" outlineLevel="0" collapsed="false">
      <c r="A22" s="4" t="s">
        <v>37</v>
      </c>
      <c r="B22" s="4" t="s">
        <v>15</v>
      </c>
      <c r="C22" s="4" t="s">
        <v>38</v>
      </c>
      <c r="D22" s="6" t="n">
        <v>0</v>
      </c>
      <c r="E22" s="6" t="n">
        <v>0</v>
      </c>
      <c r="F22" s="6" t="n">
        <v>666</v>
      </c>
      <c r="G22" s="6" t="n">
        <v>583</v>
      </c>
      <c r="H22" s="6" t="n">
        <v>520</v>
      </c>
      <c r="I22" s="6" t="n">
        <v>468</v>
      </c>
      <c r="J22" s="6" t="n">
        <v>421</v>
      </c>
      <c r="K22" s="6" t="n">
        <v>0</v>
      </c>
      <c r="L22" s="6" t="n">
        <v>0</v>
      </c>
      <c r="M22" s="8" t="str">
        <f aca="false">IF(E22=0,"N/A",L22/E22)</f>
        <v>N/A</v>
      </c>
    </row>
    <row r="23" customFormat="false" ht="15" hidden="false" customHeight="false" outlineLevel="0" collapsed="false">
      <c r="A23" s="4" t="s">
        <v>39</v>
      </c>
      <c r="B23" s="4" t="s">
        <v>20</v>
      </c>
      <c r="C23" s="4" t="s">
        <v>33</v>
      </c>
      <c r="D23" s="6" t="n">
        <v>133303</v>
      </c>
      <c r="E23" s="6" t="n">
        <v>1066</v>
      </c>
      <c r="F23" s="6" t="n">
        <v>528</v>
      </c>
      <c r="G23" s="6" t="n">
        <v>486</v>
      </c>
      <c r="H23" s="6" t="n">
        <v>409</v>
      </c>
      <c r="I23" s="6" t="n">
        <v>335</v>
      </c>
      <c r="J23" s="6" t="n">
        <v>284</v>
      </c>
      <c r="K23" s="6" t="n">
        <v>284</v>
      </c>
      <c r="L23" s="6" t="n">
        <v>409</v>
      </c>
      <c r="M23" s="8" t="n">
        <f aca="false">IF(E23=0,"N/A",L23/E23)</f>
        <v>0.383677298311445</v>
      </c>
    </row>
    <row r="24" customFormat="false" ht="15" hidden="false" customHeight="false" outlineLevel="0" collapsed="false">
      <c r="A24" s="4" t="s">
        <v>40</v>
      </c>
      <c r="B24" s="4" t="s">
        <v>15</v>
      </c>
      <c r="C24" s="4" t="s">
        <v>38</v>
      </c>
      <c r="D24" s="6" t="n">
        <v>0</v>
      </c>
      <c r="E24" s="6" t="n">
        <v>0</v>
      </c>
      <c r="F24" s="6" t="n">
        <v>658</v>
      </c>
      <c r="G24" s="6" t="n">
        <v>576</v>
      </c>
      <c r="H24" s="6" t="n">
        <v>512</v>
      </c>
      <c r="I24" s="6" t="n">
        <v>459</v>
      </c>
      <c r="J24" s="6" t="n">
        <v>410</v>
      </c>
      <c r="K24" s="6" t="n">
        <v>0</v>
      </c>
      <c r="L24" s="6" t="n">
        <v>0</v>
      </c>
      <c r="M24" s="8" t="str">
        <f aca="false">IF(E24=0,"N/A",L24/E24)</f>
        <v>N/A</v>
      </c>
    </row>
    <row r="25" customFormat="false" ht="15" hidden="false" customHeight="false" outlineLevel="0" collapsed="false">
      <c r="A25" s="4" t="s">
        <v>41</v>
      </c>
      <c r="B25" s="4" t="s">
        <v>15</v>
      </c>
      <c r="C25" s="4" t="s">
        <v>38</v>
      </c>
      <c r="D25" s="6" t="n">
        <v>0</v>
      </c>
      <c r="E25" s="6" t="n">
        <v>0</v>
      </c>
      <c r="F25" s="6" t="n">
        <v>735</v>
      </c>
      <c r="G25" s="6" t="n">
        <v>667</v>
      </c>
      <c r="H25" s="6" t="n">
        <v>592</v>
      </c>
      <c r="I25" s="6" t="n">
        <v>520</v>
      </c>
      <c r="J25" s="6" t="n">
        <v>462</v>
      </c>
      <c r="K25" s="6" t="n">
        <v>0</v>
      </c>
      <c r="L25" s="6" t="n">
        <v>0</v>
      </c>
      <c r="M25" s="8" t="str">
        <f aca="false">IF(E25=0,"N/A",L25/E25)</f>
        <v>N/A</v>
      </c>
    </row>
    <row r="26" customFormat="false" ht="15" hidden="false" customHeight="false" outlineLevel="0" collapsed="false">
      <c r="A26" s="4" t="s">
        <v>42</v>
      </c>
      <c r="B26" s="4" t="s">
        <v>20</v>
      </c>
      <c r="C26" s="4" t="s">
        <v>38</v>
      </c>
      <c r="D26" s="6" t="n">
        <v>0</v>
      </c>
      <c r="E26" s="6" t="n">
        <v>0</v>
      </c>
      <c r="F26" s="6" t="n">
        <v>690</v>
      </c>
      <c r="G26" s="6" t="n">
        <v>661</v>
      </c>
      <c r="H26" s="6" t="n">
        <v>607</v>
      </c>
      <c r="I26" s="6" t="n">
        <v>553</v>
      </c>
      <c r="J26" s="6" t="n">
        <v>484</v>
      </c>
      <c r="K26" s="6" t="n">
        <v>0</v>
      </c>
      <c r="L26" s="6" t="n">
        <v>0</v>
      </c>
      <c r="M26" s="8" t="str">
        <f aca="false">IF(E26=0,"N/A",L26/E26)</f>
        <v>N/A</v>
      </c>
    </row>
    <row r="27" customFormat="false" ht="15" hidden="false" customHeight="false" outlineLevel="0" collapsed="false">
      <c r="A27" s="4" t="s">
        <v>43</v>
      </c>
      <c r="B27" s="4" t="s">
        <v>15</v>
      </c>
      <c r="C27" s="4" t="s">
        <v>33</v>
      </c>
      <c r="D27" s="6" t="n">
        <v>86000</v>
      </c>
      <c r="E27" s="6" t="n">
        <v>688</v>
      </c>
      <c r="F27" s="6" t="n">
        <v>399</v>
      </c>
      <c r="G27" s="6" t="n">
        <v>355</v>
      </c>
      <c r="H27" s="6" t="n">
        <v>314</v>
      </c>
      <c r="I27" s="6" t="n">
        <v>277</v>
      </c>
      <c r="J27" s="6" t="n">
        <v>245</v>
      </c>
      <c r="K27" s="6" t="n">
        <v>245</v>
      </c>
      <c r="L27" s="6" t="n">
        <v>314</v>
      </c>
      <c r="M27" s="8" t="n">
        <f aca="false">IF(E27=0,"N/A",L27/E27)</f>
        <v>0.456395348837209</v>
      </c>
    </row>
    <row r="28" customFormat="false" ht="15" hidden="false" customHeight="false" outlineLevel="0" collapsed="false">
      <c r="A28" s="4" t="s">
        <v>44</v>
      </c>
      <c r="B28" s="4" t="s">
        <v>15</v>
      </c>
      <c r="C28" s="4" t="s">
        <v>38</v>
      </c>
      <c r="D28" s="6" t="n">
        <v>0</v>
      </c>
      <c r="E28" s="6" t="n">
        <v>0</v>
      </c>
      <c r="F28" s="6" t="n">
        <v>589</v>
      </c>
      <c r="G28" s="6" t="n">
        <v>525</v>
      </c>
      <c r="H28" s="6" t="n">
        <v>468</v>
      </c>
      <c r="I28" s="6" t="n">
        <v>413</v>
      </c>
      <c r="J28" s="6" t="n">
        <v>367</v>
      </c>
      <c r="K28" s="6" t="n">
        <v>0</v>
      </c>
      <c r="L28" s="6" t="n">
        <v>0</v>
      </c>
      <c r="M28" s="8" t="str">
        <f aca="false">IF(E28=0,"N/A",L28/E28)</f>
        <v>N/A</v>
      </c>
    </row>
    <row r="29" customFormat="false" ht="15" hidden="false" customHeight="false" outlineLevel="0" collapsed="false">
      <c r="A29" s="4" t="s">
        <v>45</v>
      </c>
      <c r="B29" s="4" t="s">
        <v>20</v>
      </c>
      <c r="C29" s="4" t="s">
        <v>38</v>
      </c>
      <c r="D29" s="6" t="n">
        <v>0</v>
      </c>
      <c r="E29" s="6" t="n">
        <v>0</v>
      </c>
      <c r="F29" s="6" t="n">
        <v>566</v>
      </c>
      <c r="G29" s="6" t="n">
        <v>532</v>
      </c>
      <c r="H29" s="6" t="n">
        <v>477</v>
      </c>
      <c r="I29" s="6" t="n">
        <v>424</v>
      </c>
      <c r="J29" s="6" t="n">
        <v>371</v>
      </c>
      <c r="K29" s="6" t="n">
        <v>0</v>
      </c>
      <c r="L29" s="6" t="n">
        <v>0</v>
      </c>
      <c r="M29" s="8" t="str">
        <f aca="false">IF(E29=0,"N/A",L29/E29)</f>
        <v>N/A</v>
      </c>
    </row>
    <row r="30" customFormat="false" ht="15" hidden="false" customHeight="false" outlineLevel="0" collapsed="false">
      <c r="A30" s="4" t="s">
        <v>46</v>
      </c>
      <c r="B30" s="4" t="s">
        <v>15</v>
      </c>
      <c r="C30" s="4" t="s">
        <v>33</v>
      </c>
      <c r="D30" s="6" t="n">
        <v>0</v>
      </c>
      <c r="E30" s="6" t="n">
        <v>0</v>
      </c>
      <c r="F30" s="6" t="n">
        <v>567</v>
      </c>
      <c r="G30" s="6" t="n">
        <v>532</v>
      </c>
      <c r="H30" s="6" t="n">
        <v>463</v>
      </c>
      <c r="I30" s="6" t="n">
        <v>413</v>
      </c>
      <c r="J30" s="6" t="n">
        <v>365</v>
      </c>
      <c r="K30" s="6" t="n">
        <v>0</v>
      </c>
      <c r="L30" s="6" t="n">
        <v>0</v>
      </c>
      <c r="M30" s="8" t="str">
        <f aca="false">IF(E30=0,"N/A",L30/E30)</f>
        <v>N/A</v>
      </c>
    </row>
    <row r="31" customFormat="false" ht="15" hidden="false" customHeight="false" outlineLevel="0" collapsed="false">
      <c r="A31" s="4" t="s">
        <v>47</v>
      </c>
      <c r="B31" s="4" t="s">
        <v>20</v>
      </c>
      <c r="C31" s="4" t="s">
        <v>21</v>
      </c>
      <c r="D31" s="6" t="n">
        <v>133942</v>
      </c>
      <c r="E31" s="6" t="n">
        <v>1072</v>
      </c>
      <c r="F31" s="6" t="n">
        <v>285</v>
      </c>
      <c r="G31" s="6" t="n">
        <v>276</v>
      </c>
      <c r="H31" s="6" t="n">
        <v>256</v>
      </c>
      <c r="I31" s="6" t="n">
        <v>237</v>
      </c>
      <c r="J31" s="6" t="n">
        <v>202</v>
      </c>
      <c r="K31" s="6" t="n">
        <v>202</v>
      </c>
      <c r="L31" s="6" t="n">
        <v>256</v>
      </c>
      <c r="M31" s="8" t="n">
        <f aca="false">IF(E31=0,"N/A",L31/E31)</f>
        <v>0.238805970149254</v>
      </c>
    </row>
    <row r="32" customFormat="false" ht="15" hidden="false" customHeight="false" outlineLevel="0" collapsed="false">
      <c r="A32" s="4" t="s">
        <v>48</v>
      </c>
      <c r="B32" s="4" t="s">
        <v>20</v>
      </c>
      <c r="C32" s="4" t="s">
        <v>16</v>
      </c>
      <c r="D32" s="6" t="n">
        <v>74523</v>
      </c>
      <c r="E32" s="6" t="n">
        <v>596</v>
      </c>
      <c r="F32" s="6" t="n">
        <v>210</v>
      </c>
      <c r="G32" s="6" t="n">
        <v>201</v>
      </c>
      <c r="H32" s="6" t="n">
        <v>180</v>
      </c>
      <c r="I32" s="6" t="n">
        <v>160</v>
      </c>
      <c r="J32" s="6" t="n">
        <v>136</v>
      </c>
      <c r="K32" s="6" t="n">
        <v>136</v>
      </c>
      <c r="L32" s="6" t="n">
        <v>180</v>
      </c>
      <c r="M32" s="8" t="n">
        <f aca="false">IF(E32=0,"N/A",L32/E32)</f>
        <v>0.302013422818792</v>
      </c>
    </row>
    <row r="33" customFormat="false" ht="15" hidden="false" customHeight="false" outlineLevel="0" collapsed="false">
      <c r="A33" s="4" t="s">
        <v>49</v>
      </c>
      <c r="B33" s="4" t="s">
        <v>15</v>
      </c>
      <c r="C33" s="4" t="s">
        <v>38</v>
      </c>
      <c r="D33" s="6" t="n">
        <v>0</v>
      </c>
      <c r="E33" s="6" t="n">
        <v>0</v>
      </c>
      <c r="F33" s="6" t="n">
        <v>332</v>
      </c>
      <c r="G33" s="6" t="n">
        <v>269</v>
      </c>
      <c r="H33" s="6" t="n">
        <v>231</v>
      </c>
      <c r="I33" s="6" t="n">
        <v>202</v>
      </c>
      <c r="J33" s="6" t="n">
        <v>176</v>
      </c>
      <c r="K33" s="6" t="n">
        <v>0</v>
      </c>
      <c r="L33" s="6" t="n">
        <v>0</v>
      </c>
      <c r="M33" s="8" t="str">
        <f aca="false">IF(E33=0,"N/A",L33/E33)</f>
        <v>N/A</v>
      </c>
    </row>
    <row r="34" customFormat="false" ht="15" hidden="false" customHeight="false" outlineLevel="0" collapsed="false">
      <c r="A34" s="4" t="s">
        <v>50</v>
      </c>
      <c r="B34" s="4" t="s">
        <v>15</v>
      </c>
      <c r="C34" s="4" t="s">
        <v>16</v>
      </c>
      <c r="D34" s="6" t="n">
        <v>0</v>
      </c>
      <c r="E34" s="6" t="n">
        <v>0</v>
      </c>
      <c r="F34" s="6" t="n">
        <v>246</v>
      </c>
      <c r="G34" s="6" t="n">
        <v>200</v>
      </c>
      <c r="H34" s="6" t="n">
        <v>165</v>
      </c>
      <c r="I34" s="6" t="n">
        <v>137</v>
      </c>
      <c r="J34" s="6" t="n">
        <v>107</v>
      </c>
      <c r="K34" s="6" t="n">
        <v>0</v>
      </c>
      <c r="L34" s="6" t="n">
        <v>0</v>
      </c>
      <c r="M34" s="8" t="str">
        <f aca="false">IF(E34=0,"N/A",L34/E34)</f>
        <v>N/A</v>
      </c>
    </row>
    <row r="35" customFormat="false" ht="15" hidden="false" customHeight="false" outlineLevel="0" collapsed="false">
      <c r="A35" s="4" t="s">
        <v>51</v>
      </c>
      <c r="B35" s="4" t="s">
        <v>15</v>
      </c>
      <c r="C35" s="4" t="s">
        <v>38</v>
      </c>
      <c r="D35" s="6" t="n">
        <v>0</v>
      </c>
      <c r="E35" s="6" t="n">
        <v>0</v>
      </c>
      <c r="F35" s="6" t="n">
        <v>319</v>
      </c>
      <c r="G35" s="6" t="n">
        <v>281</v>
      </c>
      <c r="H35" s="6" t="n">
        <v>236</v>
      </c>
      <c r="I35" s="6" t="n">
        <v>206</v>
      </c>
      <c r="J35" s="6" t="n">
        <v>172</v>
      </c>
      <c r="K35" s="6" t="n">
        <v>0</v>
      </c>
      <c r="L35" s="6" t="n">
        <v>0</v>
      </c>
      <c r="M35" s="8" t="str">
        <f aca="false">IF(E35=0,"N/A",L35/E35)</f>
        <v>N/A</v>
      </c>
    </row>
    <row r="36" customFormat="false" ht="15" hidden="false" customHeight="false" outlineLevel="0" collapsed="false">
      <c r="A36" s="4" t="s">
        <v>52</v>
      </c>
      <c r="B36" s="4" t="s">
        <v>15</v>
      </c>
      <c r="C36" s="4" t="s">
        <v>38</v>
      </c>
      <c r="D36" s="6" t="n">
        <v>0</v>
      </c>
      <c r="E36" s="6" t="n">
        <v>0</v>
      </c>
      <c r="F36" s="6" t="n">
        <v>228</v>
      </c>
      <c r="G36" s="6" t="n">
        <v>172</v>
      </c>
      <c r="H36" s="6" t="n">
        <v>145</v>
      </c>
      <c r="I36" s="6" t="n">
        <v>124</v>
      </c>
      <c r="J36" s="6" t="n">
        <v>106</v>
      </c>
      <c r="K36" s="6" t="n">
        <v>0</v>
      </c>
      <c r="L36" s="6" t="n">
        <v>0</v>
      </c>
      <c r="M36" s="8" t="str">
        <f aca="false">IF(E36=0,"N/A",L36/E36)</f>
        <v>N/A</v>
      </c>
    </row>
    <row r="37" customFormat="false" ht="15" hidden="false" customHeight="false" outlineLevel="0" collapsed="false">
      <c r="A37" s="4" t="s">
        <v>53</v>
      </c>
      <c r="B37" s="4" t="s">
        <v>15</v>
      </c>
      <c r="C37" s="4" t="s">
        <v>38</v>
      </c>
      <c r="D37" s="6" t="n">
        <v>0</v>
      </c>
      <c r="E37" s="6" t="n">
        <v>0</v>
      </c>
      <c r="F37" s="6" t="n">
        <v>178</v>
      </c>
      <c r="G37" s="6" t="n">
        <v>132</v>
      </c>
      <c r="H37" s="6" t="n">
        <v>112</v>
      </c>
      <c r="I37" s="6" t="n">
        <v>96</v>
      </c>
      <c r="J37" s="6" t="n">
        <v>80</v>
      </c>
      <c r="K37" s="6" t="n">
        <v>0</v>
      </c>
      <c r="L37" s="6" t="n">
        <v>0</v>
      </c>
      <c r="M37" s="8" t="str">
        <f aca="false">IF(E37=0,"N/A",L37/E37)</f>
        <v>N/A</v>
      </c>
    </row>
    <row r="38" customFormat="false" ht="15" hidden="false" customHeight="false" outlineLevel="0" collapsed="false">
      <c r="A38" s="4" t="s">
        <v>54</v>
      </c>
      <c r="B38" s="4" t="s">
        <v>15</v>
      </c>
      <c r="C38" s="4" t="s">
        <v>38</v>
      </c>
      <c r="D38" s="6" t="n">
        <v>0</v>
      </c>
      <c r="E38" s="6" t="n">
        <v>0</v>
      </c>
      <c r="F38" s="6" t="n">
        <v>184</v>
      </c>
      <c r="G38" s="6" t="n">
        <v>142</v>
      </c>
      <c r="H38" s="6" t="n">
        <v>118</v>
      </c>
      <c r="I38" s="6" t="n">
        <v>100</v>
      </c>
      <c r="J38" s="6" t="n">
        <v>79</v>
      </c>
      <c r="K38" s="6" t="n">
        <v>0</v>
      </c>
      <c r="L38" s="6" t="n">
        <v>0</v>
      </c>
      <c r="M38" s="8" t="str">
        <f aca="false">IF(E38=0,"N/A",L38/E38)</f>
        <v>N/A</v>
      </c>
    </row>
    <row r="39" customFormat="false" ht="15" hidden="false" customHeight="false" outlineLevel="0" collapsed="false">
      <c r="A39" s="4" t="s">
        <v>55</v>
      </c>
      <c r="B39" s="4" t="s">
        <v>15</v>
      </c>
      <c r="C39" s="4" t="s">
        <v>38</v>
      </c>
      <c r="D39" s="6" t="n">
        <v>0</v>
      </c>
      <c r="E39" s="6" t="n">
        <v>0</v>
      </c>
      <c r="F39" s="6" t="n">
        <v>257</v>
      </c>
      <c r="G39" s="6" t="n">
        <v>213</v>
      </c>
      <c r="H39" s="6" t="n">
        <v>183</v>
      </c>
      <c r="I39" s="6" t="n">
        <v>160</v>
      </c>
      <c r="J39" s="6" t="n">
        <v>132</v>
      </c>
      <c r="K39" s="6" t="n">
        <v>0</v>
      </c>
      <c r="L39" s="6" t="n">
        <v>0</v>
      </c>
      <c r="M39" s="8" t="str">
        <f aca="false">IF(E39=0,"N/A",L39/E39)</f>
        <v>N/A</v>
      </c>
    </row>
    <row r="40" customFormat="false" ht="15" hidden="false" customHeight="false" outlineLevel="0" collapsed="false">
      <c r="A40" s="4" t="s">
        <v>56</v>
      </c>
      <c r="B40" s="4" t="s">
        <v>15</v>
      </c>
      <c r="C40" s="4" t="s">
        <v>38</v>
      </c>
      <c r="D40" s="6" t="n">
        <v>0</v>
      </c>
      <c r="E40" s="6" t="n">
        <v>0</v>
      </c>
      <c r="F40" s="6" t="n">
        <v>131</v>
      </c>
      <c r="G40" s="6" t="n">
        <v>92</v>
      </c>
      <c r="H40" s="6" t="n">
        <v>75</v>
      </c>
      <c r="I40" s="6" t="n">
        <v>61</v>
      </c>
      <c r="J40" s="6" t="n">
        <v>49</v>
      </c>
      <c r="K40" s="6" t="n">
        <v>0</v>
      </c>
      <c r="L40" s="6" t="n">
        <v>0</v>
      </c>
      <c r="M40" s="8" t="str">
        <f aca="false">IF(E40=0,"N/A",L40/E40)</f>
        <v>N/A</v>
      </c>
    </row>
    <row r="41" customFormat="false" ht="15" hidden="false" customHeight="false" outlineLevel="0" collapsed="false">
      <c r="A41" s="4" t="s">
        <v>57</v>
      </c>
      <c r="B41" s="4" t="s">
        <v>20</v>
      </c>
      <c r="C41" s="4" t="s">
        <v>38</v>
      </c>
      <c r="D41" s="6" t="n">
        <v>79000</v>
      </c>
      <c r="E41" s="6" t="n">
        <v>632</v>
      </c>
      <c r="F41" s="6" t="n">
        <v>79</v>
      </c>
      <c r="G41" s="6" t="n">
        <v>75</v>
      </c>
      <c r="H41" s="6" t="n">
        <v>64</v>
      </c>
      <c r="I41" s="6" t="n">
        <v>53</v>
      </c>
      <c r="J41" s="6" t="n">
        <v>43</v>
      </c>
      <c r="K41" s="6" t="n">
        <v>43</v>
      </c>
      <c r="L41" s="6" t="n">
        <v>64</v>
      </c>
      <c r="M41" s="8" t="n">
        <f aca="false">IF(E41=0,"N/A",L41/E41)</f>
        <v>0.10126582278481</v>
      </c>
    </row>
  </sheetData>
  <mergeCells count="2">
    <mergeCell ref="A1:M1"/>
    <mergeCell ref="A2:M2"/>
  </mergeCells>
  <conditionalFormatting sqref="M5:M4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5" min="3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8" min="18" style="0" width="10"/>
  </cols>
  <sheetData>
    <row r="1" customFormat="false" ht="30" hidden="false" customHeight="true" outlineLevel="0" collapsed="false">
      <c r="A1" s="1" t="s">
        <v>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72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F3" s="9" t="s">
        <v>73</v>
      </c>
      <c r="G3" s="9"/>
      <c r="H3" s="9"/>
      <c r="I3" s="10" t="s">
        <v>74</v>
      </c>
      <c r="J3" s="10"/>
      <c r="K3" s="10"/>
      <c r="L3" s="10"/>
      <c r="M3" s="9" t="s">
        <v>75</v>
      </c>
      <c r="N3" s="9"/>
      <c r="O3" s="9"/>
      <c r="P3" s="11" t="s">
        <v>76</v>
      </c>
      <c r="Q3" s="11"/>
      <c r="R3" s="11"/>
    </row>
    <row r="4" customFormat="false" ht="34.5" hidden="false" customHeight="true" outlineLevel="0" collapsed="false">
      <c r="A4" s="3" t="s">
        <v>2</v>
      </c>
      <c r="B4" s="3" t="s">
        <v>60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82</v>
      </c>
      <c r="I4" s="3" t="s">
        <v>83</v>
      </c>
      <c r="J4" s="3" t="s">
        <v>84</v>
      </c>
      <c r="K4" s="3" t="s">
        <v>85</v>
      </c>
      <c r="L4" s="3" t="s">
        <v>86</v>
      </c>
      <c r="M4" s="3" t="s">
        <v>87</v>
      </c>
      <c r="N4" s="3" t="s">
        <v>88</v>
      </c>
      <c r="O4" s="3" t="s">
        <v>89</v>
      </c>
      <c r="P4" s="3" t="s">
        <v>90</v>
      </c>
      <c r="Q4" s="3" t="s">
        <v>91</v>
      </c>
      <c r="R4" s="3" t="s">
        <v>92</v>
      </c>
    </row>
    <row r="5" customFormat="false" ht="15" hidden="false" customHeight="false" outlineLevel="0" collapsed="false">
      <c r="A5" s="4" t="s">
        <v>19</v>
      </c>
      <c r="B5" s="4" t="s">
        <v>21</v>
      </c>
      <c r="C5" s="12" t="n">
        <v>3030000</v>
      </c>
      <c r="D5" s="12" t="n">
        <v>6710000</v>
      </c>
      <c r="E5" s="12" t="n">
        <v>10390000</v>
      </c>
      <c r="F5" s="6" t="n">
        <v>428</v>
      </c>
      <c r="G5" s="12" t="n">
        <v>10700000</v>
      </c>
      <c r="H5" s="7" t="n">
        <v>0.6</v>
      </c>
      <c r="I5" s="6" t="n">
        <v>440</v>
      </c>
      <c r="J5" s="12" t="n">
        <v>11000000</v>
      </c>
      <c r="K5" s="13" t="n">
        <v>0.6</v>
      </c>
      <c r="L5" s="7" t="n">
        <v>719.7</v>
      </c>
      <c r="M5" s="6" t="n">
        <v>440</v>
      </c>
      <c r="N5" s="12" t="n">
        <v>6600000</v>
      </c>
      <c r="O5" s="7" t="n">
        <v>1</v>
      </c>
      <c r="P5" s="6" t="n">
        <v>440</v>
      </c>
      <c r="Q5" s="12" t="n">
        <v>4400000</v>
      </c>
      <c r="R5" s="7" t="n">
        <v>1.5</v>
      </c>
    </row>
    <row r="6" customFormat="false" ht="15" hidden="false" customHeight="false" outlineLevel="0" collapsed="false">
      <c r="A6" s="4" t="s">
        <v>26</v>
      </c>
      <c r="B6" s="4" t="s">
        <v>21</v>
      </c>
      <c r="C6" s="12" t="n">
        <v>3030000</v>
      </c>
      <c r="D6" s="12" t="n">
        <v>6710000</v>
      </c>
      <c r="E6" s="12" t="n">
        <v>10390000</v>
      </c>
      <c r="F6" s="6" t="n">
        <v>405</v>
      </c>
      <c r="G6" s="12" t="n">
        <v>10125000</v>
      </c>
      <c r="H6" s="7" t="n">
        <v>0.7</v>
      </c>
      <c r="I6" s="6" t="n">
        <v>442</v>
      </c>
      <c r="J6" s="12" t="n">
        <v>11050000</v>
      </c>
      <c r="K6" s="13" t="n">
        <v>0.6</v>
      </c>
      <c r="L6" s="7" t="n">
        <v>723.4</v>
      </c>
      <c r="M6" s="6" t="n">
        <v>442</v>
      </c>
      <c r="N6" s="12" t="n">
        <v>6630000</v>
      </c>
      <c r="O6" s="7" t="n">
        <v>1</v>
      </c>
      <c r="P6" s="6" t="n">
        <v>442</v>
      </c>
      <c r="Q6" s="12" t="n">
        <v>4420000</v>
      </c>
      <c r="R6" s="7" t="n">
        <v>1.5</v>
      </c>
    </row>
    <row r="7" customFormat="false" ht="15" hidden="false" customHeight="false" outlineLevel="0" collapsed="false">
      <c r="A7" s="4" t="s">
        <v>22</v>
      </c>
      <c r="B7" s="4" t="s">
        <v>16</v>
      </c>
      <c r="C7" s="12" t="n">
        <v>3900000</v>
      </c>
      <c r="D7" s="12" t="n">
        <v>8300000</v>
      </c>
      <c r="E7" s="12" t="n">
        <v>12700000</v>
      </c>
      <c r="F7" s="6" t="n">
        <v>333</v>
      </c>
      <c r="G7" s="12" t="n">
        <v>8325000</v>
      </c>
      <c r="H7" s="7" t="n">
        <v>1</v>
      </c>
      <c r="I7" s="6" t="n">
        <v>333</v>
      </c>
      <c r="J7" s="12" t="n">
        <v>8325000</v>
      </c>
      <c r="K7" s="13" t="n">
        <v>1</v>
      </c>
      <c r="L7" s="7" t="n">
        <v>401.5</v>
      </c>
      <c r="M7" s="6" t="n">
        <v>333</v>
      </c>
      <c r="N7" s="12" t="n">
        <v>4995000</v>
      </c>
      <c r="O7" s="7" t="n">
        <v>1.7</v>
      </c>
      <c r="P7" s="6" t="n">
        <v>333</v>
      </c>
      <c r="Q7" s="12" t="n">
        <v>3330000</v>
      </c>
      <c r="R7" s="7" t="n">
        <v>2.5</v>
      </c>
    </row>
    <row r="8" customFormat="false" ht="15" hidden="false" customHeight="false" outlineLevel="0" collapsed="false">
      <c r="A8" s="4" t="s">
        <v>29</v>
      </c>
      <c r="B8" s="4" t="s">
        <v>21</v>
      </c>
      <c r="C8" s="12" t="n">
        <v>4200000</v>
      </c>
      <c r="D8" s="12" t="n">
        <v>9200000</v>
      </c>
      <c r="E8" s="12" t="n">
        <v>14200000</v>
      </c>
      <c r="F8" s="6" t="n">
        <v>332</v>
      </c>
      <c r="G8" s="12" t="n">
        <v>8300000</v>
      </c>
      <c r="H8" s="7" t="n">
        <v>1.1</v>
      </c>
      <c r="I8" s="6" t="n">
        <v>377</v>
      </c>
      <c r="J8" s="12" t="n">
        <v>9425000</v>
      </c>
      <c r="K8" s="13" t="n">
        <v>1</v>
      </c>
      <c r="L8" s="7" t="n">
        <v>412.2</v>
      </c>
      <c r="M8" s="6" t="n">
        <v>377</v>
      </c>
      <c r="N8" s="12" t="n">
        <v>5655000</v>
      </c>
      <c r="O8" s="7" t="n">
        <v>1.6</v>
      </c>
      <c r="P8" s="6" t="n">
        <v>377</v>
      </c>
      <c r="Q8" s="12" t="n">
        <v>3770000</v>
      </c>
      <c r="R8" s="7" t="n">
        <v>2.4</v>
      </c>
    </row>
    <row r="9" customFormat="false" ht="15" hidden="false" customHeight="false" outlineLevel="0" collapsed="false">
      <c r="A9" s="4" t="s">
        <v>32</v>
      </c>
      <c r="B9" s="4" t="s">
        <v>33</v>
      </c>
      <c r="C9" s="12" t="n">
        <v>4200000</v>
      </c>
      <c r="D9" s="12" t="n">
        <v>9200000</v>
      </c>
      <c r="E9" s="12" t="n">
        <v>14200000</v>
      </c>
      <c r="F9" s="6" t="n">
        <v>262</v>
      </c>
      <c r="G9" s="12" t="n">
        <v>6550000</v>
      </c>
      <c r="H9" s="7" t="n">
        <v>1.4</v>
      </c>
      <c r="I9" s="6" t="n">
        <v>351</v>
      </c>
      <c r="J9" s="12" t="n">
        <v>8775000</v>
      </c>
      <c r="K9" s="13" t="n">
        <v>1</v>
      </c>
      <c r="L9" s="7" t="n">
        <v>376.9</v>
      </c>
      <c r="M9" s="6" t="n">
        <v>351</v>
      </c>
      <c r="N9" s="12" t="n">
        <v>5265000</v>
      </c>
      <c r="O9" s="7" t="n">
        <v>1.7</v>
      </c>
      <c r="P9" s="6" t="n">
        <v>356</v>
      </c>
      <c r="Q9" s="12" t="n">
        <v>3560000</v>
      </c>
      <c r="R9" s="7" t="n">
        <v>2.6</v>
      </c>
    </row>
    <row r="10" customFormat="false" ht="15" hidden="false" customHeight="false" outlineLevel="0" collapsed="false">
      <c r="A10" s="4" t="s">
        <v>34</v>
      </c>
      <c r="B10" s="4" t="s">
        <v>16</v>
      </c>
      <c r="C10" s="12" t="n">
        <v>4200000</v>
      </c>
      <c r="D10" s="12" t="n">
        <v>9200000</v>
      </c>
      <c r="E10" s="12" t="n">
        <v>14200000</v>
      </c>
      <c r="F10" s="6" t="n">
        <v>294</v>
      </c>
      <c r="G10" s="12" t="n">
        <v>7350000</v>
      </c>
      <c r="H10" s="7" t="n">
        <v>1.3</v>
      </c>
      <c r="I10" s="6" t="n">
        <v>379</v>
      </c>
      <c r="J10" s="12" t="n">
        <v>9475000</v>
      </c>
      <c r="K10" s="13" t="n">
        <v>1</v>
      </c>
      <c r="L10" s="7" t="n">
        <v>414.9</v>
      </c>
      <c r="M10" s="6" t="n">
        <v>379</v>
      </c>
      <c r="N10" s="12" t="n">
        <v>5685000</v>
      </c>
      <c r="O10" s="7" t="n">
        <v>1.6</v>
      </c>
      <c r="P10" s="6" t="n">
        <v>418</v>
      </c>
      <c r="Q10" s="12" t="n">
        <v>4180000</v>
      </c>
      <c r="R10" s="7" t="n">
        <v>2.2</v>
      </c>
    </row>
    <row r="11" customFormat="false" ht="15" hidden="false" customHeight="false" outlineLevel="0" collapsed="false">
      <c r="A11" s="4" t="s">
        <v>28</v>
      </c>
      <c r="B11" s="4" t="s">
        <v>21</v>
      </c>
      <c r="C11" s="12" t="n">
        <v>6180000</v>
      </c>
      <c r="D11" s="12" t="n">
        <v>13850000</v>
      </c>
      <c r="E11" s="12" t="n">
        <v>21520000</v>
      </c>
      <c r="F11" s="6" t="n">
        <v>388</v>
      </c>
      <c r="G11" s="12" t="n">
        <v>9700000</v>
      </c>
      <c r="H11" s="7" t="n">
        <v>1.4</v>
      </c>
      <c r="I11" s="6" t="n">
        <v>492</v>
      </c>
      <c r="J11" s="12" t="n">
        <v>12300000</v>
      </c>
      <c r="K11" s="13" t="n">
        <v>1.1</v>
      </c>
      <c r="L11" s="7" t="n">
        <v>344</v>
      </c>
      <c r="M11" s="6" t="n">
        <v>492</v>
      </c>
      <c r="N11" s="12" t="n">
        <v>7380000</v>
      </c>
      <c r="O11" s="7" t="n">
        <v>1.9</v>
      </c>
      <c r="P11" s="6" t="n">
        <v>528</v>
      </c>
      <c r="Q11" s="12" t="n">
        <v>5280000</v>
      </c>
      <c r="R11" s="7" t="n">
        <v>2.6</v>
      </c>
    </row>
    <row r="12" customFormat="false" ht="15" hidden="false" customHeight="false" outlineLevel="0" collapsed="false">
      <c r="A12" s="4" t="s">
        <v>14</v>
      </c>
      <c r="B12" s="4" t="s">
        <v>16</v>
      </c>
      <c r="C12" s="12" t="n">
        <v>8400000</v>
      </c>
      <c r="D12" s="12" t="n">
        <v>18500000</v>
      </c>
      <c r="E12" s="12" t="n">
        <v>28600000</v>
      </c>
      <c r="F12" s="6" t="n">
        <v>655</v>
      </c>
      <c r="G12" s="12" t="n">
        <v>16375000</v>
      </c>
      <c r="H12" s="7" t="n">
        <v>1.1</v>
      </c>
      <c r="I12" s="6" t="n">
        <v>655</v>
      </c>
      <c r="J12" s="12" t="n">
        <v>16375000</v>
      </c>
      <c r="K12" s="13" t="n">
        <v>1.1</v>
      </c>
      <c r="L12" s="7" t="n">
        <v>342.6</v>
      </c>
      <c r="M12" s="6" t="n">
        <v>655</v>
      </c>
      <c r="N12" s="12" t="n">
        <v>9825000</v>
      </c>
      <c r="O12" s="7" t="n">
        <v>1.9</v>
      </c>
      <c r="P12" s="6" t="n">
        <v>655</v>
      </c>
      <c r="Q12" s="12" t="n">
        <v>6550000</v>
      </c>
      <c r="R12" s="7" t="n">
        <v>2.8</v>
      </c>
    </row>
    <row r="13" customFormat="false" ht="15" hidden="false" customHeight="false" outlineLevel="0" collapsed="false">
      <c r="A13" s="4" t="s">
        <v>25</v>
      </c>
      <c r="B13" s="4" t="s">
        <v>21</v>
      </c>
      <c r="C13" s="12" t="n">
        <v>4200000</v>
      </c>
      <c r="D13" s="12" t="n">
        <v>9200000</v>
      </c>
      <c r="E13" s="12" t="n">
        <v>14200000</v>
      </c>
      <c r="F13" s="6" t="n">
        <v>318</v>
      </c>
      <c r="G13" s="12" t="n">
        <v>7950000</v>
      </c>
      <c r="H13" s="7" t="n">
        <v>1.2</v>
      </c>
      <c r="I13" s="6" t="n">
        <v>318</v>
      </c>
      <c r="J13" s="12" t="n">
        <v>7950000</v>
      </c>
      <c r="K13" s="13" t="n">
        <v>1.2</v>
      </c>
      <c r="L13" s="7" t="n">
        <v>332.1</v>
      </c>
      <c r="M13" s="6" t="n">
        <v>318</v>
      </c>
      <c r="N13" s="12" t="n">
        <v>4770000</v>
      </c>
      <c r="O13" s="7" t="n">
        <v>1.9</v>
      </c>
      <c r="P13" s="6" t="n">
        <v>318</v>
      </c>
      <c r="Q13" s="12" t="n">
        <v>3180000</v>
      </c>
      <c r="R13" s="7" t="n">
        <v>2.9</v>
      </c>
    </row>
    <row r="14" customFormat="false" ht="15" hidden="false" customHeight="false" outlineLevel="0" collapsed="false">
      <c r="A14" s="4" t="s">
        <v>31</v>
      </c>
      <c r="B14" s="4" t="s">
        <v>21</v>
      </c>
      <c r="C14" s="12" t="n">
        <v>6480000</v>
      </c>
      <c r="D14" s="12" t="n">
        <v>14750000</v>
      </c>
      <c r="E14" s="12" t="n">
        <v>23020000</v>
      </c>
      <c r="F14" s="6" t="n">
        <v>357</v>
      </c>
      <c r="G14" s="12" t="n">
        <v>8925000</v>
      </c>
      <c r="H14" s="7" t="n">
        <v>1.7</v>
      </c>
      <c r="I14" s="6" t="n">
        <v>432</v>
      </c>
      <c r="J14" s="12" t="n">
        <v>10800000</v>
      </c>
      <c r="K14" s="13" t="n">
        <v>1.4</v>
      </c>
      <c r="L14" s="7" t="n">
        <v>266.1</v>
      </c>
      <c r="M14" s="6" t="n">
        <v>432</v>
      </c>
      <c r="N14" s="12" t="n">
        <v>6480000</v>
      </c>
      <c r="O14" s="7" t="n">
        <v>2.3</v>
      </c>
      <c r="P14" s="6" t="n">
        <v>454</v>
      </c>
      <c r="Q14" s="12" t="n">
        <v>4540000</v>
      </c>
      <c r="R14" s="7" t="n">
        <v>3.2</v>
      </c>
    </row>
    <row r="15" customFormat="false" ht="15" hidden="false" customHeight="false" outlineLevel="0" collapsed="false">
      <c r="A15" s="4" t="s">
        <v>18</v>
      </c>
      <c r="B15" s="4" t="s">
        <v>16</v>
      </c>
      <c r="C15" s="12" t="n">
        <v>4680000</v>
      </c>
      <c r="D15" s="12" t="n">
        <v>9960000</v>
      </c>
      <c r="E15" s="12" t="n">
        <v>15240000</v>
      </c>
      <c r="F15" s="6" t="n">
        <v>284</v>
      </c>
      <c r="G15" s="12" t="n">
        <v>7100000</v>
      </c>
      <c r="H15" s="7" t="n">
        <v>1.4</v>
      </c>
      <c r="I15" s="6" t="n">
        <v>284</v>
      </c>
      <c r="J15" s="12" t="n">
        <v>7100000</v>
      </c>
      <c r="K15" s="13" t="n">
        <v>1.4</v>
      </c>
      <c r="L15" s="7" t="n">
        <v>256.4</v>
      </c>
      <c r="M15" s="6" t="n">
        <v>284</v>
      </c>
      <c r="N15" s="12" t="n">
        <v>4260000</v>
      </c>
      <c r="O15" s="7" t="n">
        <v>2.3</v>
      </c>
      <c r="P15" s="6" t="n">
        <v>284</v>
      </c>
      <c r="Q15" s="12" t="n">
        <v>2840000</v>
      </c>
      <c r="R15" s="7" t="n">
        <v>3.5</v>
      </c>
    </row>
    <row r="16" customFormat="false" ht="15" hidden="false" customHeight="false" outlineLevel="0" collapsed="false">
      <c r="A16" s="4" t="s">
        <v>24</v>
      </c>
      <c r="B16" s="4" t="s">
        <v>21</v>
      </c>
      <c r="C16" s="12" t="n">
        <v>5280000</v>
      </c>
      <c r="D16" s="12" t="n">
        <v>11760000</v>
      </c>
      <c r="E16" s="12" t="n">
        <v>18240000</v>
      </c>
      <c r="F16" s="6" t="n">
        <v>342</v>
      </c>
      <c r="G16" s="12" t="n">
        <v>8550000</v>
      </c>
      <c r="H16" s="7" t="n">
        <v>1.4</v>
      </c>
      <c r="I16" s="6" t="n">
        <v>342</v>
      </c>
      <c r="J16" s="12" t="n">
        <v>8550000</v>
      </c>
      <c r="K16" s="13" t="n">
        <v>1.4</v>
      </c>
      <c r="L16" s="7" t="n">
        <v>263.5</v>
      </c>
      <c r="M16" s="6" t="n">
        <v>342</v>
      </c>
      <c r="N16" s="12" t="n">
        <v>5130000</v>
      </c>
      <c r="O16" s="7" t="n">
        <v>2.3</v>
      </c>
      <c r="P16" s="6" t="n">
        <v>342</v>
      </c>
      <c r="Q16" s="12" t="n">
        <v>3420000</v>
      </c>
      <c r="R16" s="7" t="n">
        <v>3.4</v>
      </c>
    </row>
    <row r="17" customFormat="false" ht="15" hidden="false" customHeight="false" outlineLevel="0" collapsed="false">
      <c r="A17" s="4" t="s">
        <v>23</v>
      </c>
      <c r="B17" s="4" t="s">
        <v>21</v>
      </c>
      <c r="C17" s="12" t="n">
        <v>4780000</v>
      </c>
      <c r="D17" s="12" t="n">
        <v>10260000</v>
      </c>
      <c r="E17" s="12" t="n">
        <v>15740000</v>
      </c>
      <c r="F17" s="6" t="n">
        <v>280</v>
      </c>
      <c r="G17" s="12" t="n">
        <v>7000000</v>
      </c>
      <c r="H17" s="7" t="n">
        <v>1.5</v>
      </c>
      <c r="I17" s="6" t="n">
        <v>280</v>
      </c>
      <c r="J17" s="12" t="n">
        <v>7000000</v>
      </c>
      <c r="K17" s="13" t="n">
        <v>1.5</v>
      </c>
      <c r="L17" s="7" t="n">
        <v>241.1</v>
      </c>
      <c r="M17" s="6" t="n">
        <v>280</v>
      </c>
      <c r="N17" s="12" t="n">
        <v>4200000</v>
      </c>
      <c r="O17" s="7" t="n">
        <v>2.4</v>
      </c>
      <c r="P17" s="6" t="n">
        <v>280</v>
      </c>
      <c r="Q17" s="12" t="n">
        <v>2800000</v>
      </c>
      <c r="R17" s="7" t="n">
        <v>3.7</v>
      </c>
    </row>
    <row r="18" customFormat="false" ht="15" hidden="false" customHeight="false" outlineLevel="0" collapsed="false">
      <c r="A18" s="4" t="s">
        <v>43</v>
      </c>
      <c r="B18" s="4" t="s">
        <v>33</v>
      </c>
      <c r="C18" s="12" t="n">
        <v>6180000</v>
      </c>
      <c r="D18" s="12" t="n">
        <v>13850000</v>
      </c>
      <c r="E18" s="12" t="n">
        <v>21520000</v>
      </c>
      <c r="F18" s="6" t="n">
        <v>245</v>
      </c>
      <c r="G18" s="12" t="n">
        <v>6125000</v>
      </c>
      <c r="H18" s="7" t="n">
        <v>2.3</v>
      </c>
      <c r="I18" s="6" t="n">
        <v>314</v>
      </c>
      <c r="J18" s="12" t="n">
        <v>7850000</v>
      </c>
      <c r="K18" s="7" t="n">
        <v>1.8</v>
      </c>
      <c r="L18" s="7" t="n">
        <v>183.4</v>
      </c>
      <c r="M18" s="6" t="n">
        <v>314</v>
      </c>
      <c r="N18" s="12" t="n">
        <v>4710000</v>
      </c>
      <c r="O18" s="7" t="n">
        <v>2.9</v>
      </c>
      <c r="P18" s="6" t="n">
        <v>355</v>
      </c>
      <c r="Q18" s="12" t="n">
        <v>3550000</v>
      </c>
      <c r="R18" s="7" t="n">
        <v>3.9</v>
      </c>
    </row>
    <row r="19" customFormat="false" ht="15" hidden="false" customHeight="false" outlineLevel="0" collapsed="false">
      <c r="A19" s="4" t="s">
        <v>30</v>
      </c>
      <c r="B19" s="4" t="s">
        <v>21</v>
      </c>
      <c r="C19" s="12" t="n">
        <v>10680000</v>
      </c>
      <c r="D19" s="12" t="n">
        <v>24000000</v>
      </c>
      <c r="E19" s="12" t="n">
        <v>37320000</v>
      </c>
      <c r="F19" s="6" t="n">
        <v>360</v>
      </c>
      <c r="G19" s="12" t="n">
        <v>9000000</v>
      </c>
      <c r="H19" s="7" t="n">
        <v>2.7</v>
      </c>
      <c r="I19" s="6" t="n">
        <v>508</v>
      </c>
      <c r="J19" s="12" t="n">
        <v>12700000</v>
      </c>
      <c r="K19" s="7" t="n">
        <v>1.9</v>
      </c>
      <c r="L19" s="7" t="n">
        <v>164.6</v>
      </c>
      <c r="M19" s="6" t="n">
        <v>508</v>
      </c>
      <c r="N19" s="12" t="n">
        <v>7620000</v>
      </c>
      <c r="O19" s="7" t="n">
        <v>3.1</v>
      </c>
      <c r="P19" s="6" t="n">
        <v>595</v>
      </c>
      <c r="Q19" s="12" t="n">
        <v>5950000</v>
      </c>
      <c r="R19" s="7" t="n">
        <v>4</v>
      </c>
    </row>
    <row r="20" customFormat="false" ht="15" hidden="false" customHeight="false" outlineLevel="0" collapsed="false">
      <c r="A20" s="4" t="s">
        <v>39</v>
      </c>
      <c r="B20" s="4" t="s">
        <v>33</v>
      </c>
      <c r="C20" s="12" t="n">
        <v>9000000</v>
      </c>
      <c r="D20" s="12" t="n">
        <v>20300000</v>
      </c>
      <c r="E20" s="12" t="n">
        <v>31600000</v>
      </c>
      <c r="F20" s="6" t="n">
        <v>284</v>
      </c>
      <c r="G20" s="12" t="n">
        <v>7100000</v>
      </c>
      <c r="H20" s="7" t="n">
        <v>2.9</v>
      </c>
      <c r="I20" s="6" t="n">
        <v>409</v>
      </c>
      <c r="J20" s="12" t="n">
        <v>10225000</v>
      </c>
      <c r="K20" s="7" t="n">
        <v>2</v>
      </c>
      <c r="L20" s="7" t="n">
        <v>151.8</v>
      </c>
      <c r="M20" s="6" t="n">
        <v>409</v>
      </c>
      <c r="N20" s="12" t="n">
        <v>6135000</v>
      </c>
      <c r="O20" s="7" t="n">
        <v>3.3</v>
      </c>
      <c r="P20" s="6" t="n">
        <v>486</v>
      </c>
      <c r="Q20" s="12" t="n">
        <v>4860000</v>
      </c>
      <c r="R20" s="7" t="n">
        <v>4.2</v>
      </c>
    </row>
    <row r="21" customFormat="false" ht="15" hidden="false" customHeight="false" outlineLevel="0" collapsed="false">
      <c r="A21" s="4" t="s">
        <v>47</v>
      </c>
      <c r="B21" s="4" t="s">
        <v>21</v>
      </c>
      <c r="C21" s="12" t="n">
        <v>6480000</v>
      </c>
      <c r="D21" s="12" t="n">
        <v>14750000</v>
      </c>
      <c r="E21" s="12" t="n">
        <v>23020000</v>
      </c>
      <c r="F21" s="6" t="n">
        <v>202</v>
      </c>
      <c r="G21" s="12" t="n">
        <v>5050000</v>
      </c>
      <c r="H21" s="7" t="n">
        <v>2.9</v>
      </c>
      <c r="I21" s="6" t="n">
        <v>256</v>
      </c>
      <c r="J21" s="12" t="n">
        <v>6400000</v>
      </c>
      <c r="K21" s="7" t="n">
        <v>2.3</v>
      </c>
      <c r="L21" s="7" t="n">
        <v>116.9</v>
      </c>
      <c r="M21" s="6" t="n">
        <v>256</v>
      </c>
      <c r="N21" s="12" t="n">
        <v>3840000</v>
      </c>
      <c r="O21" s="7" t="n">
        <v>3.8</v>
      </c>
      <c r="P21" s="6" t="n">
        <v>276</v>
      </c>
      <c r="Q21" s="12" t="n">
        <v>2760000</v>
      </c>
      <c r="R21" s="7" t="n">
        <v>5.3</v>
      </c>
    </row>
    <row r="22" customFormat="false" ht="15" hidden="false" customHeight="false" outlineLevel="0" collapsed="false">
      <c r="A22" s="4" t="s">
        <v>35</v>
      </c>
      <c r="B22" s="4" t="s">
        <v>16</v>
      </c>
      <c r="C22" s="12" t="n">
        <v>10680000</v>
      </c>
      <c r="D22" s="12" t="n">
        <v>24000000</v>
      </c>
      <c r="E22" s="12" t="n">
        <v>37320000</v>
      </c>
      <c r="F22" s="6" t="n">
        <v>299</v>
      </c>
      <c r="G22" s="12" t="n">
        <v>7475000</v>
      </c>
      <c r="H22" s="7" t="n">
        <v>3.2</v>
      </c>
      <c r="I22" s="6" t="n">
        <v>404</v>
      </c>
      <c r="J22" s="12" t="n">
        <v>10100000</v>
      </c>
      <c r="K22" s="7" t="n">
        <v>2.4</v>
      </c>
      <c r="L22" s="7" t="n">
        <v>110.4</v>
      </c>
      <c r="M22" s="6" t="n">
        <v>404</v>
      </c>
      <c r="N22" s="12" t="n">
        <v>6060000</v>
      </c>
      <c r="O22" s="7" t="n">
        <v>4</v>
      </c>
      <c r="P22" s="6" t="n">
        <v>466</v>
      </c>
      <c r="Q22" s="12" t="n">
        <v>4660000</v>
      </c>
      <c r="R22" s="7" t="n">
        <v>5.2</v>
      </c>
    </row>
    <row r="23" customFormat="false" ht="15" hidden="false" customHeight="false" outlineLevel="0" collapsed="false">
      <c r="A23" s="4" t="s">
        <v>48</v>
      </c>
      <c r="B23" s="4" t="s">
        <v>16</v>
      </c>
      <c r="C23" s="12" t="n">
        <v>10680000</v>
      </c>
      <c r="D23" s="12" t="n">
        <v>24000000</v>
      </c>
      <c r="E23" s="12" t="n">
        <v>37320000</v>
      </c>
      <c r="F23" s="6" t="n">
        <v>136</v>
      </c>
      <c r="G23" s="12" t="n">
        <v>3400000</v>
      </c>
      <c r="H23" s="7" t="n">
        <v>7.1</v>
      </c>
      <c r="I23" s="6" t="n">
        <v>180</v>
      </c>
      <c r="J23" s="12" t="n">
        <v>4500000</v>
      </c>
      <c r="K23" s="7" t="n">
        <v>5.3</v>
      </c>
      <c r="L23" s="7" t="n">
        <v>-6.2</v>
      </c>
      <c r="M23" s="6" t="n">
        <v>180</v>
      </c>
      <c r="N23" s="12" t="n">
        <v>2700000</v>
      </c>
      <c r="O23" s="7" t="n">
        <v>8.9</v>
      </c>
      <c r="P23" s="6" t="n">
        <v>201</v>
      </c>
      <c r="Q23" s="12" t="n">
        <v>2010000</v>
      </c>
      <c r="R23" s="7" t="n">
        <v>11.9</v>
      </c>
    </row>
    <row r="24" customFormat="false" ht="15" hidden="false" customHeight="false" outlineLevel="0" collapsed="false">
      <c r="A24" s="4" t="s">
        <v>57</v>
      </c>
      <c r="B24" s="4" t="s">
        <v>38</v>
      </c>
      <c r="C24" s="12" t="n">
        <v>10680000</v>
      </c>
      <c r="D24" s="12" t="n">
        <v>24000000</v>
      </c>
      <c r="E24" s="12" t="n">
        <v>37320000</v>
      </c>
      <c r="F24" s="6" t="n">
        <v>43</v>
      </c>
      <c r="G24" s="12" t="n">
        <v>1075000</v>
      </c>
      <c r="H24" s="7" t="n">
        <v>22.3</v>
      </c>
      <c r="I24" s="6" t="n">
        <v>64</v>
      </c>
      <c r="J24" s="12" t="n">
        <v>1600000</v>
      </c>
      <c r="K24" s="7" t="n">
        <v>15</v>
      </c>
      <c r="L24" s="7" t="n">
        <v>-66.7</v>
      </c>
      <c r="M24" s="6" t="n">
        <v>64</v>
      </c>
      <c r="N24" s="12" t="n">
        <v>960000</v>
      </c>
      <c r="O24" s="7" t="n">
        <v>25</v>
      </c>
      <c r="P24" s="6" t="n">
        <v>75</v>
      </c>
      <c r="Q24" s="12" t="n">
        <v>750000</v>
      </c>
      <c r="R24" s="7" t="n">
        <v>32</v>
      </c>
    </row>
    <row r="25" customFormat="false" ht="15" hidden="false" customHeight="false" outlineLevel="0" collapsed="false">
      <c r="A25" s="4" t="s">
        <v>27</v>
      </c>
      <c r="B25" s="4" t="s">
        <v>16</v>
      </c>
      <c r="C25" s="12" t="n">
        <v>0</v>
      </c>
      <c r="D25" s="12" t="n">
        <v>0</v>
      </c>
      <c r="E25" s="12" t="n">
        <v>0</v>
      </c>
      <c r="F25" s="6" t="n">
        <v>0</v>
      </c>
      <c r="G25" s="12" t="n">
        <v>0</v>
      </c>
      <c r="H25" s="4" t="s">
        <v>93</v>
      </c>
      <c r="I25" s="6" t="n">
        <v>0</v>
      </c>
      <c r="J25" s="12" t="n">
        <v>0</v>
      </c>
      <c r="K25" s="4" t="s">
        <v>93</v>
      </c>
      <c r="L25" s="4" t="s">
        <v>93</v>
      </c>
      <c r="M25" s="6" t="n">
        <v>0</v>
      </c>
      <c r="N25" s="12" t="n">
        <v>0</v>
      </c>
      <c r="O25" s="4" t="s">
        <v>93</v>
      </c>
      <c r="P25" s="6" t="n">
        <v>0</v>
      </c>
      <c r="Q25" s="12" t="n">
        <v>0</v>
      </c>
      <c r="R25" s="4" t="s">
        <v>93</v>
      </c>
    </row>
    <row r="26" customFormat="false" ht="15" hidden="false" customHeight="false" outlineLevel="0" collapsed="false">
      <c r="A26" s="4" t="s">
        <v>36</v>
      </c>
      <c r="B26" s="4" t="s">
        <v>33</v>
      </c>
      <c r="C26" s="12" t="n">
        <v>0</v>
      </c>
      <c r="D26" s="12" t="n">
        <v>0</v>
      </c>
      <c r="E26" s="12" t="n">
        <v>0</v>
      </c>
      <c r="F26" s="6" t="n">
        <v>0</v>
      </c>
      <c r="G26" s="12" t="n">
        <v>0</v>
      </c>
      <c r="H26" s="4" t="s">
        <v>93</v>
      </c>
      <c r="I26" s="6" t="n">
        <v>0</v>
      </c>
      <c r="J26" s="12" t="n">
        <v>0</v>
      </c>
      <c r="K26" s="4" t="s">
        <v>93</v>
      </c>
      <c r="L26" s="4" t="s">
        <v>93</v>
      </c>
      <c r="M26" s="6" t="n">
        <v>0</v>
      </c>
      <c r="N26" s="12" t="n">
        <v>0</v>
      </c>
      <c r="O26" s="4" t="s">
        <v>93</v>
      </c>
      <c r="P26" s="6" t="n">
        <v>0</v>
      </c>
      <c r="Q26" s="12" t="n">
        <v>0</v>
      </c>
      <c r="R26" s="4" t="s">
        <v>93</v>
      </c>
    </row>
    <row r="27" customFormat="false" ht="15" hidden="false" customHeight="false" outlineLevel="0" collapsed="false">
      <c r="A27" s="4" t="s">
        <v>37</v>
      </c>
      <c r="B27" s="4" t="s">
        <v>38</v>
      </c>
      <c r="C27" s="12" t="n">
        <v>0</v>
      </c>
      <c r="D27" s="12" t="n">
        <v>0</v>
      </c>
      <c r="E27" s="12" t="n">
        <v>0</v>
      </c>
      <c r="F27" s="6" t="n">
        <v>0</v>
      </c>
      <c r="G27" s="12" t="n">
        <v>0</v>
      </c>
      <c r="H27" s="4" t="s">
        <v>93</v>
      </c>
      <c r="I27" s="6" t="n">
        <v>0</v>
      </c>
      <c r="J27" s="12" t="n">
        <v>0</v>
      </c>
      <c r="K27" s="4" t="s">
        <v>93</v>
      </c>
      <c r="L27" s="4" t="s">
        <v>93</v>
      </c>
      <c r="M27" s="6" t="n">
        <v>0</v>
      </c>
      <c r="N27" s="12" t="n">
        <v>0</v>
      </c>
      <c r="O27" s="4" t="s">
        <v>93</v>
      </c>
      <c r="P27" s="6" t="n">
        <v>0</v>
      </c>
      <c r="Q27" s="12" t="n">
        <v>0</v>
      </c>
      <c r="R27" s="4" t="s">
        <v>93</v>
      </c>
    </row>
    <row r="28" customFormat="false" ht="15" hidden="false" customHeight="false" outlineLevel="0" collapsed="false">
      <c r="A28" s="4" t="s">
        <v>40</v>
      </c>
      <c r="B28" s="4" t="s">
        <v>38</v>
      </c>
      <c r="C28" s="12" t="n">
        <v>0</v>
      </c>
      <c r="D28" s="12" t="n">
        <v>0</v>
      </c>
      <c r="E28" s="12" t="n">
        <v>0</v>
      </c>
      <c r="F28" s="6" t="n">
        <v>0</v>
      </c>
      <c r="G28" s="12" t="n">
        <v>0</v>
      </c>
      <c r="H28" s="4" t="s">
        <v>93</v>
      </c>
      <c r="I28" s="6" t="n">
        <v>0</v>
      </c>
      <c r="J28" s="12" t="n">
        <v>0</v>
      </c>
      <c r="K28" s="4" t="s">
        <v>93</v>
      </c>
      <c r="L28" s="4" t="s">
        <v>93</v>
      </c>
      <c r="M28" s="6" t="n">
        <v>0</v>
      </c>
      <c r="N28" s="12" t="n">
        <v>0</v>
      </c>
      <c r="O28" s="4" t="s">
        <v>93</v>
      </c>
      <c r="P28" s="6" t="n">
        <v>0</v>
      </c>
      <c r="Q28" s="12" t="n">
        <v>0</v>
      </c>
      <c r="R28" s="4" t="s">
        <v>93</v>
      </c>
    </row>
    <row r="29" customFormat="false" ht="15" hidden="false" customHeight="false" outlineLevel="0" collapsed="false">
      <c r="A29" s="4" t="s">
        <v>41</v>
      </c>
      <c r="B29" s="4" t="s">
        <v>38</v>
      </c>
      <c r="C29" s="12" t="n">
        <v>0</v>
      </c>
      <c r="D29" s="12" t="n">
        <v>0</v>
      </c>
      <c r="E29" s="12" t="n">
        <v>0</v>
      </c>
      <c r="F29" s="6" t="n">
        <v>0</v>
      </c>
      <c r="G29" s="12" t="n">
        <v>0</v>
      </c>
      <c r="H29" s="4" t="s">
        <v>93</v>
      </c>
      <c r="I29" s="6" t="n">
        <v>0</v>
      </c>
      <c r="J29" s="12" t="n">
        <v>0</v>
      </c>
      <c r="K29" s="4" t="s">
        <v>93</v>
      </c>
      <c r="L29" s="4" t="s">
        <v>93</v>
      </c>
      <c r="M29" s="6" t="n">
        <v>0</v>
      </c>
      <c r="N29" s="12" t="n">
        <v>0</v>
      </c>
      <c r="O29" s="4" t="s">
        <v>93</v>
      </c>
      <c r="P29" s="6" t="n">
        <v>0</v>
      </c>
      <c r="Q29" s="12" t="n">
        <v>0</v>
      </c>
      <c r="R29" s="4" t="s">
        <v>93</v>
      </c>
    </row>
    <row r="30" customFormat="false" ht="15" hidden="false" customHeight="false" outlineLevel="0" collapsed="false">
      <c r="A30" s="4" t="s">
        <v>42</v>
      </c>
      <c r="B30" s="4" t="s">
        <v>38</v>
      </c>
      <c r="C30" s="12" t="n">
        <v>0</v>
      </c>
      <c r="D30" s="12" t="n">
        <v>0</v>
      </c>
      <c r="E30" s="12" t="n">
        <v>0</v>
      </c>
      <c r="F30" s="6" t="n">
        <v>0</v>
      </c>
      <c r="G30" s="12" t="n">
        <v>0</v>
      </c>
      <c r="H30" s="4" t="s">
        <v>93</v>
      </c>
      <c r="I30" s="6" t="n">
        <v>0</v>
      </c>
      <c r="J30" s="12" t="n">
        <v>0</v>
      </c>
      <c r="K30" s="4" t="s">
        <v>93</v>
      </c>
      <c r="L30" s="4" t="s">
        <v>93</v>
      </c>
      <c r="M30" s="6" t="n">
        <v>0</v>
      </c>
      <c r="N30" s="12" t="n">
        <v>0</v>
      </c>
      <c r="O30" s="4" t="s">
        <v>93</v>
      </c>
      <c r="P30" s="6" t="n">
        <v>0</v>
      </c>
      <c r="Q30" s="12" t="n">
        <v>0</v>
      </c>
      <c r="R30" s="4" t="s">
        <v>93</v>
      </c>
    </row>
    <row r="31" customFormat="false" ht="15" hidden="false" customHeight="false" outlineLevel="0" collapsed="false">
      <c r="A31" s="4" t="s">
        <v>44</v>
      </c>
      <c r="B31" s="4" t="s">
        <v>38</v>
      </c>
      <c r="C31" s="12" t="n">
        <v>0</v>
      </c>
      <c r="D31" s="12" t="n">
        <v>0</v>
      </c>
      <c r="E31" s="12" t="n">
        <v>0</v>
      </c>
      <c r="F31" s="6" t="n">
        <v>0</v>
      </c>
      <c r="G31" s="12" t="n">
        <v>0</v>
      </c>
      <c r="H31" s="4" t="s">
        <v>93</v>
      </c>
      <c r="I31" s="6" t="n">
        <v>0</v>
      </c>
      <c r="J31" s="12" t="n">
        <v>0</v>
      </c>
      <c r="K31" s="4" t="s">
        <v>93</v>
      </c>
      <c r="L31" s="4" t="s">
        <v>93</v>
      </c>
      <c r="M31" s="6" t="n">
        <v>0</v>
      </c>
      <c r="N31" s="12" t="n">
        <v>0</v>
      </c>
      <c r="O31" s="4" t="s">
        <v>93</v>
      </c>
      <c r="P31" s="6" t="n">
        <v>0</v>
      </c>
      <c r="Q31" s="12" t="n">
        <v>0</v>
      </c>
      <c r="R31" s="4" t="s">
        <v>93</v>
      </c>
    </row>
    <row r="32" customFormat="false" ht="15" hidden="false" customHeight="false" outlineLevel="0" collapsed="false">
      <c r="A32" s="4" t="s">
        <v>45</v>
      </c>
      <c r="B32" s="4" t="s">
        <v>38</v>
      </c>
      <c r="C32" s="12" t="n">
        <v>0</v>
      </c>
      <c r="D32" s="12" t="n">
        <v>0</v>
      </c>
      <c r="E32" s="12" t="n">
        <v>0</v>
      </c>
      <c r="F32" s="6" t="n">
        <v>0</v>
      </c>
      <c r="G32" s="12" t="n">
        <v>0</v>
      </c>
      <c r="H32" s="4" t="s">
        <v>93</v>
      </c>
      <c r="I32" s="6" t="n">
        <v>0</v>
      </c>
      <c r="J32" s="12" t="n">
        <v>0</v>
      </c>
      <c r="K32" s="4" t="s">
        <v>93</v>
      </c>
      <c r="L32" s="4" t="s">
        <v>93</v>
      </c>
      <c r="M32" s="6" t="n">
        <v>0</v>
      </c>
      <c r="N32" s="12" t="n">
        <v>0</v>
      </c>
      <c r="O32" s="4" t="s">
        <v>93</v>
      </c>
      <c r="P32" s="6" t="n">
        <v>0</v>
      </c>
      <c r="Q32" s="12" t="n">
        <v>0</v>
      </c>
      <c r="R32" s="4" t="s">
        <v>93</v>
      </c>
    </row>
    <row r="33" customFormat="false" ht="15" hidden="false" customHeight="false" outlineLevel="0" collapsed="false">
      <c r="A33" s="4" t="s">
        <v>46</v>
      </c>
      <c r="B33" s="4" t="s">
        <v>33</v>
      </c>
      <c r="C33" s="12" t="n">
        <v>0</v>
      </c>
      <c r="D33" s="12" t="n">
        <v>0</v>
      </c>
      <c r="E33" s="12" t="n">
        <v>0</v>
      </c>
      <c r="F33" s="6" t="n">
        <v>0</v>
      </c>
      <c r="G33" s="12" t="n">
        <v>0</v>
      </c>
      <c r="H33" s="4" t="s">
        <v>93</v>
      </c>
      <c r="I33" s="6" t="n">
        <v>0</v>
      </c>
      <c r="J33" s="12" t="n">
        <v>0</v>
      </c>
      <c r="K33" s="4" t="s">
        <v>93</v>
      </c>
      <c r="L33" s="4" t="s">
        <v>93</v>
      </c>
      <c r="M33" s="6" t="n">
        <v>0</v>
      </c>
      <c r="N33" s="12" t="n">
        <v>0</v>
      </c>
      <c r="O33" s="4" t="s">
        <v>93</v>
      </c>
      <c r="P33" s="6" t="n">
        <v>0</v>
      </c>
      <c r="Q33" s="12" t="n">
        <v>0</v>
      </c>
      <c r="R33" s="4" t="s">
        <v>93</v>
      </c>
    </row>
    <row r="34" customFormat="false" ht="15" hidden="false" customHeight="false" outlineLevel="0" collapsed="false">
      <c r="A34" s="4" t="s">
        <v>49</v>
      </c>
      <c r="B34" s="4" t="s">
        <v>38</v>
      </c>
      <c r="C34" s="12" t="n">
        <v>0</v>
      </c>
      <c r="D34" s="12" t="n">
        <v>0</v>
      </c>
      <c r="E34" s="12" t="n">
        <v>0</v>
      </c>
      <c r="F34" s="6" t="n">
        <v>0</v>
      </c>
      <c r="G34" s="12" t="n">
        <v>0</v>
      </c>
      <c r="H34" s="4" t="s">
        <v>93</v>
      </c>
      <c r="I34" s="6" t="n">
        <v>0</v>
      </c>
      <c r="J34" s="12" t="n">
        <v>0</v>
      </c>
      <c r="K34" s="4" t="s">
        <v>93</v>
      </c>
      <c r="L34" s="4" t="s">
        <v>93</v>
      </c>
      <c r="M34" s="6" t="n">
        <v>0</v>
      </c>
      <c r="N34" s="12" t="n">
        <v>0</v>
      </c>
      <c r="O34" s="4" t="s">
        <v>93</v>
      </c>
      <c r="P34" s="6" t="n">
        <v>0</v>
      </c>
      <c r="Q34" s="12" t="n">
        <v>0</v>
      </c>
      <c r="R34" s="4" t="s">
        <v>93</v>
      </c>
    </row>
    <row r="35" customFormat="false" ht="15" hidden="false" customHeight="false" outlineLevel="0" collapsed="false">
      <c r="A35" s="4" t="s">
        <v>50</v>
      </c>
      <c r="B35" s="4" t="s">
        <v>16</v>
      </c>
      <c r="C35" s="12" t="n">
        <v>0</v>
      </c>
      <c r="D35" s="12" t="n">
        <v>0</v>
      </c>
      <c r="E35" s="12" t="n">
        <v>0</v>
      </c>
      <c r="F35" s="6" t="n">
        <v>0</v>
      </c>
      <c r="G35" s="12" t="n">
        <v>0</v>
      </c>
      <c r="H35" s="4" t="s">
        <v>93</v>
      </c>
      <c r="I35" s="6" t="n">
        <v>0</v>
      </c>
      <c r="J35" s="12" t="n">
        <v>0</v>
      </c>
      <c r="K35" s="4" t="s">
        <v>93</v>
      </c>
      <c r="L35" s="4" t="s">
        <v>93</v>
      </c>
      <c r="M35" s="6" t="n">
        <v>0</v>
      </c>
      <c r="N35" s="12" t="n">
        <v>0</v>
      </c>
      <c r="O35" s="4" t="s">
        <v>93</v>
      </c>
      <c r="P35" s="6" t="n">
        <v>0</v>
      </c>
      <c r="Q35" s="12" t="n">
        <v>0</v>
      </c>
      <c r="R35" s="4" t="s">
        <v>93</v>
      </c>
    </row>
    <row r="36" customFormat="false" ht="15" hidden="false" customHeight="false" outlineLevel="0" collapsed="false">
      <c r="A36" s="4" t="s">
        <v>51</v>
      </c>
      <c r="B36" s="4" t="s">
        <v>38</v>
      </c>
      <c r="C36" s="12" t="n">
        <v>0</v>
      </c>
      <c r="D36" s="12" t="n">
        <v>0</v>
      </c>
      <c r="E36" s="12" t="n">
        <v>0</v>
      </c>
      <c r="F36" s="6" t="n">
        <v>0</v>
      </c>
      <c r="G36" s="12" t="n">
        <v>0</v>
      </c>
      <c r="H36" s="4" t="s">
        <v>93</v>
      </c>
      <c r="I36" s="6" t="n">
        <v>0</v>
      </c>
      <c r="J36" s="12" t="n">
        <v>0</v>
      </c>
      <c r="K36" s="4" t="s">
        <v>93</v>
      </c>
      <c r="L36" s="4" t="s">
        <v>93</v>
      </c>
      <c r="M36" s="6" t="n">
        <v>0</v>
      </c>
      <c r="N36" s="12" t="n">
        <v>0</v>
      </c>
      <c r="O36" s="4" t="s">
        <v>93</v>
      </c>
      <c r="P36" s="6" t="n">
        <v>0</v>
      </c>
      <c r="Q36" s="12" t="n">
        <v>0</v>
      </c>
      <c r="R36" s="4" t="s">
        <v>93</v>
      </c>
    </row>
    <row r="37" customFormat="false" ht="15" hidden="false" customHeight="false" outlineLevel="0" collapsed="false">
      <c r="A37" s="4" t="s">
        <v>52</v>
      </c>
      <c r="B37" s="4" t="s">
        <v>38</v>
      </c>
      <c r="C37" s="12" t="n">
        <v>0</v>
      </c>
      <c r="D37" s="12" t="n">
        <v>0</v>
      </c>
      <c r="E37" s="12" t="n">
        <v>0</v>
      </c>
      <c r="F37" s="6" t="n">
        <v>0</v>
      </c>
      <c r="G37" s="12" t="n">
        <v>0</v>
      </c>
      <c r="H37" s="4" t="s">
        <v>93</v>
      </c>
      <c r="I37" s="6" t="n">
        <v>0</v>
      </c>
      <c r="J37" s="12" t="n">
        <v>0</v>
      </c>
      <c r="K37" s="4" t="s">
        <v>93</v>
      </c>
      <c r="L37" s="4" t="s">
        <v>93</v>
      </c>
      <c r="M37" s="6" t="n">
        <v>0</v>
      </c>
      <c r="N37" s="12" t="n">
        <v>0</v>
      </c>
      <c r="O37" s="4" t="s">
        <v>93</v>
      </c>
      <c r="P37" s="6" t="n">
        <v>0</v>
      </c>
      <c r="Q37" s="12" t="n">
        <v>0</v>
      </c>
      <c r="R37" s="4" t="s">
        <v>93</v>
      </c>
    </row>
    <row r="38" customFormat="false" ht="15" hidden="false" customHeight="false" outlineLevel="0" collapsed="false">
      <c r="A38" s="4" t="s">
        <v>53</v>
      </c>
      <c r="B38" s="4" t="s">
        <v>38</v>
      </c>
      <c r="C38" s="12" t="n">
        <v>0</v>
      </c>
      <c r="D38" s="12" t="n">
        <v>0</v>
      </c>
      <c r="E38" s="12" t="n">
        <v>0</v>
      </c>
      <c r="F38" s="6" t="n">
        <v>0</v>
      </c>
      <c r="G38" s="12" t="n">
        <v>0</v>
      </c>
      <c r="H38" s="4" t="s">
        <v>93</v>
      </c>
      <c r="I38" s="6" t="n">
        <v>0</v>
      </c>
      <c r="J38" s="12" t="n">
        <v>0</v>
      </c>
      <c r="K38" s="4" t="s">
        <v>93</v>
      </c>
      <c r="L38" s="4" t="s">
        <v>93</v>
      </c>
      <c r="M38" s="6" t="n">
        <v>0</v>
      </c>
      <c r="N38" s="12" t="n">
        <v>0</v>
      </c>
      <c r="O38" s="4" t="s">
        <v>93</v>
      </c>
      <c r="P38" s="6" t="n">
        <v>0</v>
      </c>
      <c r="Q38" s="12" t="n">
        <v>0</v>
      </c>
      <c r="R38" s="4" t="s">
        <v>93</v>
      </c>
    </row>
    <row r="39" customFormat="false" ht="15" hidden="false" customHeight="false" outlineLevel="0" collapsed="false">
      <c r="A39" s="4" t="s">
        <v>54</v>
      </c>
      <c r="B39" s="4" t="s">
        <v>38</v>
      </c>
      <c r="C39" s="12" t="n">
        <v>0</v>
      </c>
      <c r="D39" s="12" t="n">
        <v>0</v>
      </c>
      <c r="E39" s="12" t="n">
        <v>0</v>
      </c>
      <c r="F39" s="6" t="n">
        <v>0</v>
      </c>
      <c r="G39" s="12" t="n">
        <v>0</v>
      </c>
      <c r="H39" s="4" t="s">
        <v>93</v>
      </c>
      <c r="I39" s="6" t="n">
        <v>0</v>
      </c>
      <c r="J39" s="12" t="n">
        <v>0</v>
      </c>
      <c r="K39" s="4" t="s">
        <v>93</v>
      </c>
      <c r="L39" s="4" t="s">
        <v>93</v>
      </c>
      <c r="M39" s="6" t="n">
        <v>0</v>
      </c>
      <c r="N39" s="12" t="n">
        <v>0</v>
      </c>
      <c r="O39" s="4" t="s">
        <v>93</v>
      </c>
      <c r="P39" s="6" t="n">
        <v>0</v>
      </c>
      <c r="Q39" s="12" t="n">
        <v>0</v>
      </c>
      <c r="R39" s="4" t="s">
        <v>93</v>
      </c>
    </row>
    <row r="40" customFormat="false" ht="15" hidden="false" customHeight="false" outlineLevel="0" collapsed="false">
      <c r="A40" s="4" t="s">
        <v>55</v>
      </c>
      <c r="B40" s="4" t="s">
        <v>38</v>
      </c>
      <c r="C40" s="12" t="n">
        <v>0</v>
      </c>
      <c r="D40" s="12" t="n">
        <v>0</v>
      </c>
      <c r="E40" s="12" t="n">
        <v>0</v>
      </c>
      <c r="F40" s="6" t="n">
        <v>0</v>
      </c>
      <c r="G40" s="12" t="n">
        <v>0</v>
      </c>
      <c r="H40" s="4" t="s">
        <v>93</v>
      </c>
      <c r="I40" s="6" t="n">
        <v>0</v>
      </c>
      <c r="J40" s="12" t="n">
        <v>0</v>
      </c>
      <c r="K40" s="4" t="s">
        <v>93</v>
      </c>
      <c r="L40" s="4" t="s">
        <v>93</v>
      </c>
      <c r="M40" s="6" t="n">
        <v>0</v>
      </c>
      <c r="N40" s="12" t="n">
        <v>0</v>
      </c>
      <c r="O40" s="4" t="s">
        <v>93</v>
      </c>
      <c r="P40" s="6" t="n">
        <v>0</v>
      </c>
      <c r="Q40" s="12" t="n">
        <v>0</v>
      </c>
      <c r="R40" s="4" t="s">
        <v>93</v>
      </c>
    </row>
    <row r="41" customFormat="false" ht="15" hidden="false" customHeight="false" outlineLevel="0" collapsed="false">
      <c r="A41" s="4" t="s">
        <v>56</v>
      </c>
      <c r="B41" s="4" t="s">
        <v>38</v>
      </c>
      <c r="C41" s="12" t="n">
        <v>0</v>
      </c>
      <c r="D41" s="12" t="n">
        <v>0</v>
      </c>
      <c r="E41" s="12" t="n">
        <v>0</v>
      </c>
      <c r="F41" s="6" t="n">
        <v>0</v>
      </c>
      <c r="G41" s="12" t="n">
        <v>0</v>
      </c>
      <c r="H41" s="4" t="s">
        <v>93</v>
      </c>
      <c r="I41" s="6" t="n">
        <v>0</v>
      </c>
      <c r="J41" s="12" t="n">
        <v>0</v>
      </c>
      <c r="K41" s="4" t="s">
        <v>93</v>
      </c>
      <c r="L41" s="4" t="s">
        <v>93</v>
      </c>
      <c r="M41" s="6" t="n">
        <v>0</v>
      </c>
      <c r="N41" s="12" t="n">
        <v>0</v>
      </c>
      <c r="O41" s="4" t="s">
        <v>93</v>
      </c>
      <c r="P41" s="6" t="n">
        <v>0</v>
      </c>
      <c r="Q41" s="12" t="n">
        <v>0</v>
      </c>
      <c r="R41" s="4" t="s">
        <v>93</v>
      </c>
    </row>
  </sheetData>
  <mergeCells count="6">
    <mergeCell ref="A1:R1"/>
    <mergeCell ref="A2:R2"/>
    <mergeCell ref="F3:H3"/>
    <mergeCell ref="I3:L3"/>
    <mergeCell ref="M3:O3"/>
    <mergeCell ref="P3:R3"/>
  </mergeCells>
  <conditionalFormatting sqref="G5:G41">
    <cfRule type="dataBar" priority="2">
      <dataBar showValue="1" minLength="10" maxLength="90">
        <cfvo type="min" val="0"/>
        <cfvo type="max" val="0"/>
        <color rgb="FF20808D"/>
      </dataBar>
      <extLst>
        <ext xmlns:x14="http://schemas.microsoft.com/office/spreadsheetml/2009/9/main" uri="{B025F937-C7B1-47D3-B67F-A62EFF666E3E}">
          <x14:id>{F362DD76-54D2-4814-8037-3CDFCEF74AA1}</x14:id>
        </ext>
      </extLst>
    </cfRule>
  </conditionalFormatting>
  <conditionalFormatting sqref="J5:J41">
    <cfRule type="dataBar" priority="3">
      <dataBar showValue="1" minLength="10" maxLength="90">
        <cfvo type="min" val="0"/>
        <cfvo type="max" val="0"/>
        <color rgb="FF20808D"/>
      </dataBar>
      <extLst>
        <ext xmlns:x14="http://schemas.microsoft.com/office/spreadsheetml/2009/9/main" uri="{B025F937-C7B1-47D3-B67F-A62EFF666E3E}">
          <x14:id>{E1E750A1-3C53-48FA-B22B-40AEED52DCC5}</x14:id>
        </ext>
      </extLst>
    </cfRule>
  </conditionalFormatting>
  <conditionalFormatting sqref="N5:N41">
    <cfRule type="dataBar" priority="4">
      <dataBar showValue="1" minLength="10" maxLength="90">
        <cfvo type="min" val="0"/>
        <cfvo type="max" val="0"/>
        <color rgb="FF20808D"/>
      </dataBar>
      <extLst>
        <ext xmlns:x14="http://schemas.microsoft.com/office/spreadsheetml/2009/9/main" uri="{B025F937-C7B1-47D3-B67F-A62EFF666E3E}">
          <x14:id>{A635F050-6FA1-492D-8ED0-DA4C7BE695E2}</x14:id>
        </ext>
      </extLst>
    </cfRule>
  </conditionalFormatting>
  <conditionalFormatting sqref="Q5:Q41">
    <cfRule type="dataBar" priority="5">
      <dataBar showValue="1" minLength="10" maxLength="90">
        <cfvo type="min" val="0"/>
        <cfvo type="max" val="0"/>
        <color rgb="FF20808D"/>
      </dataBar>
      <extLst>
        <ext xmlns:x14="http://schemas.microsoft.com/office/spreadsheetml/2009/9/main" uri="{B025F937-C7B1-47D3-B67F-A62EFF666E3E}">
          <x14:id>{D8CD3C40-9D46-4F31-8C52-EA7290B9CB97}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62DD76-54D2-4814-8037-3CDFCEF74AA1}">
            <x14:dataBar minLength="10" maxLength="90" axisPosition="none" gradient="true">
              <x14:cfvo type="min"/>
              <x14:cfvo type="max"/>
              <x14:negativeFillColor rgb="FF20808D"/>
              <x14:axisColor rgb="FF000000"/>
            </x14:dataBar>
          </x14:cfRule>
          <xm:sqref>G5:G41</xm:sqref>
        </x14:conditionalFormatting>
        <x14:conditionalFormatting xmlns:xm="http://schemas.microsoft.com/office/excel/2006/main">
          <x14:cfRule type="dataBar" id="{E1E750A1-3C53-48FA-B22B-40AEED52DCC5}">
            <x14:dataBar minLength="10" maxLength="90" axisPosition="none" gradient="true">
              <x14:cfvo type="min"/>
              <x14:cfvo type="max"/>
              <x14:negativeFillColor rgb="FF20808D"/>
              <x14:axisColor rgb="FF000000"/>
            </x14:dataBar>
          </x14:cfRule>
          <xm:sqref>J5:J41</xm:sqref>
        </x14:conditionalFormatting>
        <x14:conditionalFormatting xmlns:xm="http://schemas.microsoft.com/office/excel/2006/main">
          <x14:cfRule type="dataBar" id="{A635F050-6FA1-492D-8ED0-DA4C7BE695E2}">
            <x14:dataBar minLength="10" maxLength="90" axisPosition="none" gradient="true">
              <x14:cfvo type="min"/>
              <x14:cfvo type="max"/>
              <x14:negativeFillColor rgb="FF20808D"/>
              <x14:axisColor rgb="FF000000"/>
            </x14:dataBar>
          </x14:cfRule>
          <xm:sqref>N5:N41</xm:sqref>
        </x14:conditionalFormatting>
        <x14:conditionalFormatting xmlns:xm="http://schemas.microsoft.com/office/excel/2006/main">
          <x14:cfRule type="dataBar" id="{D8CD3C40-9D46-4F31-8C52-EA7290B9CB97}">
            <x14:dataBar minLength="10" maxLength="90" axisPosition="none" gradient="true">
              <x14:cfvo type="min"/>
              <x14:cfvo type="max"/>
              <x14:negativeFillColor rgb="FF20808D"/>
              <x14:axisColor rgb="FF000000"/>
            </x14:dataBar>
          </x14:cfRule>
          <xm:sqref>Q5:Q41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" t="s">
        <v>94</v>
      </c>
      <c r="B1" s="1"/>
      <c r="C1" s="1"/>
      <c r="D1" s="1"/>
      <c r="E1" s="1"/>
    </row>
    <row r="2" customFormat="false" ht="24.75" hidden="false" customHeight="true" outlineLevel="0" collapsed="false">
      <c r="A2" s="14" t="s">
        <v>95</v>
      </c>
      <c r="B2" s="14"/>
      <c r="C2" s="14"/>
      <c r="D2" s="14"/>
      <c r="E2" s="14"/>
    </row>
    <row r="4" customFormat="false" ht="15" hidden="false" customHeight="false" outlineLevel="0" collapsed="false">
      <c r="A4" s="3" t="s">
        <v>2</v>
      </c>
      <c r="B4" s="3" t="s">
        <v>96</v>
      </c>
      <c r="C4" s="3" t="s">
        <v>97</v>
      </c>
      <c r="D4" s="3" t="s">
        <v>98</v>
      </c>
      <c r="E4" s="3" t="s">
        <v>99</v>
      </c>
    </row>
    <row r="5" customFormat="false" ht="15" hidden="false" customHeight="false" outlineLevel="0" collapsed="false">
      <c r="A5" s="15" t="s">
        <v>57</v>
      </c>
      <c r="B5" s="15" t="s">
        <v>16</v>
      </c>
      <c r="C5" s="15" t="s">
        <v>38</v>
      </c>
      <c r="D5" s="16" t="s">
        <v>100</v>
      </c>
      <c r="E5" s="17" t="s">
        <v>101</v>
      </c>
    </row>
    <row r="6" customFormat="false" ht="15" hidden="false" customHeight="false" outlineLevel="0" collapsed="false">
      <c r="A6" s="15" t="s">
        <v>25</v>
      </c>
      <c r="B6" s="15" t="s">
        <v>16</v>
      </c>
      <c r="C6" s="15" t="s">
        <v>21</v>
      </c>
      <c r="D6" s="18" t="s">
        <v>102</v>
      </c>
      <c r="E6" s="17" t="s">
        <v>103</v>
      </c>
    </row>
    <row r="7" customFormat="false" ht="15" hidden="false" customHeight="false" outlineLevel="0" collapsed="false">
      <c r="A7" s="15" t="s">
        <v>23</v>
      </c>
      <c r="B7" s="15" t="s">
        <v>16</v>
      </c>
      <c r="C7" s="15" t="s">
        <v>21</v>
      </c>
      <c r="D7" s="18" t="s">
        <v>102</v>
      </c>
      <c r="E7" s="17" t="s">
        <v>104</v>
      </c>
    </row>
    <row r="8" customFormat="false" ht="15" hidden="false" customHeight="false" outlineLevel="0" collapsed="false">
      <c r="A8" s="15" t="s">
        <v>22</v>
      </c>
      <c r="B8" s="15" t="s">
        <v>38</v>
      </c>
      <c r="C8" s="15" t="s">
        <v>16</v>
      </c>
      <c r="D8" s="18" t="s">
        <v>102</v>
      </c>
      <c r="E8" s="17" t="s">
        <v>105</v>
      </c>
    </row>
    <row r="9" customFormat="false" ht="15" hidden="false" customHeight="false" outlineLevel="0" collapsed="false">
      <c r="A9" s="15" t="s">
        <v>18</v>
      </c>
      <c r="B9" s="15" t="s">
        <v>38</v>
      </c>
      <c r="C9" s="15" t="s">
        <v>16</v>
      </c>
      <c r="D9" s="18" t="s">
        <v>102</v>
      </c>
      <c r="E9" s="17" t="s">
        <v>106</v>
      </c>
    </row>
    <row r="10" customFormat="false" ht="15" hidden="false" customHeight="false" outlineLevel="0" collapsed="false">
      <c r="A10" s="15" t="s">
        <v>27</v>
      </c>
      <c r="B10" s="15" t="s">
        <v>38</v>
      </c>
      <c r="C10" s="15" t="s">
        <v>16</v>
      </c>
      <c r="D10" s="18" t="s">
        <v>102</v>
      </c>
      <c r="E10" s="17" t="s">
        <v>107</v>
      </c>
    </row>
    <row r="11" customFormat="false" ht="15" hidden="false" customHeight="false" outlineLevel="0" collapsed="false">
      <c r="A11" s="15" t="s">
        <v>14</v>
      </c>
      <c r="B11" s="15" t="s">
        <v>38</v>
      </c>
      <c r="C11" s="15" t="s">
        <v>16</v>
      </c>
      <c r="D11" s="18" t="s">
        <v>102</v>
      </c>
      <c r="E11" s="17" t="s">
        <v>108</v>
      </c>
    </row>
    <row r="14" customFormat="false" ht="15" hidden="false" customHeight="false" outlineLevel="0" collapsed="false">
      <c r="A14" s="19" t="s">
        <v>109</v>
      </c>
      <c r="B14" s="19"/>
      <c r="C14" s="19"/>
      <c r="D14" s="19"/>
      <c r="E14" s="19"/>
    </row>
    <row r="15" customFormat="false" ht="15" hidden="false" customHeight="false" outlineLevel="0" collapsed="false">
      <c r="A15" s="20" t="s">
        <v>110</v>
      </c>
      <c r="B15" s="20"/>
      <c r="C15" s="20"/>
      <c r="D15" s="20"/>
      <c r="E15" s="20"/>
    </row>
    <row r="16" customFormat="false" ht="15" hidden="false" customHeight="false" outlineLevel="0" collapsed="false">
      <c r="A16" s="20" t="s">
        <v>111</v>
      </c>
      <c r="B16" s="20"/>
      <c r="C16" s="20"/>
      <c r="D16" s="20"/>
      <c r="E16" s="20"/>
    </row>
    <row r="17" customFormat="false" ht="15" hidden="false" customHeight="false" outlineLevel="0" collapsed="false">
      <c r="A17" s="20" t="s">
        <v>112</v>
      </c>
      <c r="B17" s="20"/>
      <c r="C17" s="20"/>
      <c r="D17" s="20"/>
      <c r="E17" s="20"/>
    </row>
    <row r="18" customFormat="false" ht="15" hidden="false" customHeight="false" outlineLevel="0" collapsed="false">
      <c r="A18" s="20" t="s">
        <v>113</v>
      </c>
      <c r="B18" s="20"/>
      <c r="C18" s="20"/>
      <c r="D18" s="20"/>
      <c r="E18" s="20"/>
    </row>
    <row r="19" customFormat="false" ht="15" hidden="false" customHeight="false" outlineLevel="0" collapsed="false">
      <c r="A19" s="20" t="s">
        <v>114</v>
      </c>
      <c r="B19" s="20"/>
      <c r="C19" s="20"/>
      <c r="D19" s="20"/>
      <c r="E19" s="20"/>
    </row>
    <row r="20" customFormat="false" ht="15" hidden="false" customHeight="false" outlineLevel="0" collapsed="false">
      <c r="A20" s="20" t="s">
        <v>115</v>
      </c>
      <c r="B20" s="20"/>
      <c r="C20" s="20"/>
      <c r="D20" s="20"/>
      <c r="E20" s="20"/>
    </row>
    <row r="21" customFormat="false" ht="15" hidden="false" customHeight="false" outlineLevel="0" collapsed="false">
      <c r="A21" s="20" t="s">
        <v>116</v>
      </c>
      <c r="B21" s="20"/>
      <c r="C21" s="20"/>
      <c r="D21" s="20"/>
      <c r="E21" s="20"/>
    </row>
    <row r="22" customFormat="false" ht="15" hidden="false" customHeight="false" outlineLevel="0" collapsed="false">
      <c r="A22" s="20" t="s">
        <v>117</v>
      </c>
      <c r="B22" s="20"/>
      <c r="C22" s="20"/>
      <c r="D22" s="20"/>
      <c r="E22" s="20"/>
    </row>
  </sheetData>
  <mergeCells count="11">
    <mergeCell ref="A1:E1"/>
    <mergeCell ref="A2:E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4"/>
  </cols>
  <sheetData>
    <row r="1" customFormat="false" ht="30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  <c r="H2" s="2"/>
      <c r="I2" s="2"/>
    </row>
    <row r="4" customFormat="false" ht="34.5" hidden="false" customHeight="true" outlineLevel="0" collapsed="false">
      <c r="A4" s="3" t="s">
        <v>2</v>
      </c>
      <c r="B4" s="3" t="s">
        <v>60</v>
      </c>
      <c r="C4" s="3" t="s">
        <v>120</v>
      </c>
      <c r="D4" s="3" t="s">
        <v>121</v>
      </c>
      <c r="E4" s="3" t="s">
        <v>122</v>
      </c>
      <c r="F4" s="3" t="s">
        <v>123</v>
      </c>
      <c r="G4" s="3" t="s">
        <v>124</v>
      </c>
      <c r="H4" s="3" t="s">
        <v>125</v>
      </c>
      <c r="I4" s="3" t="s">
        <v>126</v>
      </c>
    </row>
    <row r="5" customFormat="false" ht="15" hidden="false" customHeight="false" outlineLevel="0" collapsed="false">
      <c r="A5" s="4" t="s">
        <v>26</v>
      </c>
      <c r="B5" s="4" t="s">
        <v>21</v>
      </c>
      <c r="C5" s="6" t="n">
        <v>442</v>
      </c>
      <c r="D5" s="4" t="s">
        <v>127</v>
      </c>
      <c r="E5" s="6" t="n">
        <v>442</v>
      </c>
      <c r="F5" s="8" t="n">
        <v>1</v>
      </c>
      <c r="G5" s="12" t="n">
        <v>11050000</v>
      </c>
      <c r="H5" s="12" t="n">
        <v>6710000</v>
      </c>
      <c r="I5" s="13" t="n">
        <v>0.607239819004525</v>
      </c>
    </row>
    <row r="6" customFormat="false" ht="15" hidden="false" customHeight="false" outlineLevel="0" collapsed="false">
      <c r="A6" s="4" t="s">
        <v>19</v>
      </c>
      <c r="B6" s="4" t="s">
        <v>21</v>
      </c>
      <c r="C6" s="6" t="n">
        <v>440</v>
      </c>
      <c r="D6" s="4" t="s">
        <v>127</v>
      </c>
      <c r="E6" s="6" t="n">
        <v>440</v>
      </c>
      <c r="F6" s="8" t="n">
        <v>1</v>
      </c>
      <c r="G6" s="12" t="n">
        <v>11000000</v>
      </c>
      <c r="H6" s="12" t="n">
        <v>6710000</v>
      </c>
      <c r="I6" s="13" t="n">
        <v>0.61</v>
      </c>
    </row>
    <row r="7" customFormat="false" ht="15" hidden="false" customHeight="false" outlineLevel="0" collapsed="false">
      <c r="A7" s="4" t="s">
        <v>34</v>
      </c>
      <c r="B7" s="4" t="s">
        <v>16</v>
      </c>
      <c r="C7" s="6" t="n">
        <v>418</v>
      </c>
      <c r="D7" s="4" t="s">
        <v>127</v>
      </c>
      <c r="E7" s="6" t="n">
        <v>379</v>
      </c>
      <c r="F7" s="8" t="n">
        <v>0.906698564593301</v>
      </c>
      <c r="G7" s="12" t="n">
        <v>9475000</v>
      </c>
      <c r="H7" s="12" t="n">
        <v>9200000</v>
      </c>
      <c r="I7" s="13" t="n">
        <v>0.970976253298153</v>
      </c>
    </row>
    <row r="8" customFormat="false" ht="15" hidden="false" customHeight="false" outlineLevel="0" collapsed="false">
      <c r="A8" s="4" t="s">
        <v>29</v>
      </c>
      <c r="B8" s="4" t="s">
        <v>21</v>
      </c>
      <c r="C8" s="6" t="n">
        <v>377</v>
      </c>
      <c r="D8" s="4" t="s">
        <v>127</v>
      </c>
      <c r="E8" s="6" t="n">
        <v>377</v>
      </c>
      <c r="F8" s="8" t="n">
        <v>1</v>
      </c>
      <c r="G8" s="12" t="n">
        <v>9425000</v>
      </c>
      <c r="H8" s="12" t="n">
        <v>9200000</v>
      </c>
      <c r="I8" s="13" t="n">
        <v>0.976127320954907</v>
      </c>
    </row>
    <row r="9" customFormat="false" ht="15" hidden="false" customHeight="false" outlineLevel="0" collapsed="false">
      <c r="A9" s="4" t="s">
        <v>22</v>
      </c>
      <c r="B9" s="4" t="s">
        <v>16</v>
      </c>
      <c r="C9" s="6" t="n">
        <v>333</v>
      </c>
      <c r="D9" s="4" t="s">
        <v>128</v>
      </c>
      <c r="E9" s="6" t="n">
        <v>333</v>
      </c>
      <c r="F9" s="8" t="n">
        <v>1</v>
      </c>
      <c r="G9" s="12" t="n">
        <v>8325000</v>
      </c>
      <c r="H9" s="12" t="n">
        <v>8300000</v>
      </c>
      <c r="I9" s="13" t="n">
        <v>0.996996996996997</v>
      </c>
    </row>
    <row r="10" customFormat="false" ht="15" hidden="false" customHeight="false" outlineLevel="0" collapsed="false">
      <c r="A10" s="4" t="s">
        <v>32</v>
      </c>
      <c r="B10" s="4" t="s">
        <v>33</v>
      </c>
      <c r="C10" s="6" t="n">
        <v>356</v>
      </c>
      <c r="D10" s="4" t="s">
        <v>127</v>
      </c>
      <c r="E10" s="6" t="n">
        <v>351</v>
      </c>
      <c r="F10" s="8" t="n">
        <v>0.985955056179775</v>
      </c>
      <c r="G10" s="12" t="n">
        <v>8775000</v>
      </c>
      <c r="H10" s="12" t="n">
        <v>9200000</v>
      </c>
      <c r="I10" s="13" t="n">
        <v>1.04843304843305</v>
      </c>
    </row>
    <row r="11" customFormat="false" ht="15" hidden="false" customHeight="false" outlineLevel="0" collapsed="false">
      <c r="A11" s="4" t="s">
        <v>28</v>
      </c>
      <c r="B11" s="4" t="s">
        <v>21</v>
      </c>
      <c r="C11" s="6" t="n">
        <v>528</v>
      </c>
      <c r="D11" s="4" t="s">
        <v>127</v>
      </c>
      <c r="E11" s="6" t="n">
        <v>492</v>
      </c>
      <c r="F11" s="8" t="n">
        <v>0.931818181818182</v>
      </c>
      <c r="G11" s="12" t="n">
        <v>12300000</v>
      </c>
      <c r="H11" s="12" t="n">
        <v>13850000</v>
      </c>
      <c r="I11" s="13" t="n">
        <v>1.1260162601626</v>
      </c>
    </row>
    <row r="12" customFormat="false" ht="15" hidden="false" customHeight="false" outlineLevel="0" collapsed="false">
      <c r="A12" s="4" t="s">
        <v>14</v>
      </c>
      <c r="B12" s="4" t="s">
        <v>16</v>
      </c>
      <c r="C12" s="6" t="n">
        <v>655</v>
      </c>
      <c r="D12" s="4" t="s">
        <v>128</v>
      </c>
      <c r="E12" s="6" t="n">
        <v>655</v>
      </c>
      <c r="F12" s="8" t="n">
        <v>1</v>
      </c>
      <c r="G12" s="12" t="n">
        <v>16375000</v>
      </c>
      <c r="H12" s="12" t="n">
        <v>18500000</v>
      </c>
      <c r="I12" s="13" t="n">
        <v>1.12977099236641</v>
      </c>
    </row>
    <row r="13" customFormat="false" ht="15" hidden="false" customHeight="false" outlineLevel="0" collapsed="false">
      <c r="A13" s="4" t="s">
        <v>25</v>
      </c>
      <c r="B13" s="4" t="s">
        <v>21</v>
      </c>
      <c r="C13" s="6" t="n">
        <v>318</v>
      </c>
      <c r="D13" s="4" t="s">
        <v>128</v>
      </c>
      <c r="E13" s="6" t="n">
        <v>318</v>
      </c>
      <c r="F13" s="8" t="n">
        <v>1</v>
      </c>
      <c r="G13" s="12" t="n">
        <v>7950000</v>
      </c>
      <c r="H13" s="12" t="n">
        <v>9200000</v>
      </c>
      <c r="I13" s="13" t="n">
        <v>1.15723270440252</v>
      </c>
    </row>
    <row r="14" customFormat="false" ht="15" hidden="false" customHeight="false" outlineLevel="0" collapsed="false">
      <c r="A14" s="4" t="s">
        <v>31</v>
      </c>
      <c r="B14" s="4" t="s">
        <v>21</v>
      </c>
      <c r="C14" s="6" t="n">
        <v>532</v>
      </c>
      <c r="D14" s="4" t="s">
        <v>127</v>
      </c>
      <c r="E14" s="6" t="n">
        <v>432</v>
      </c>
      <c r="F14" s="8" t="n">
        <v>0.81203007518797</v>
      </c>
      <c r="G14" s="12" t="n">
        <v>10800000</v>
      </c>
      <c r="H14" s="12" t="n">
        <v>14750000</v>
      </c>
      <c r="I14" s="13" t="n">
        <v>1.36574074074074</v>
      </c>
    </row>
    <row r="15" customFormat="false" ht="15" hidden="false" customHeight="false" outlineLevel="0" collapsed="false">
      <c r="A15" s="4" t="s">
        <v>24</v>
      </c>
      <c r="B15" s="4" t="s">
        <v>21</v>
      </c>
      <c r="C15" s="6" t="n">
        <v>342</v>
      </c>
      <c r="D15" s="4" t="s">
        <v>128</v>
      </c>
      <c r="E15" s="6" t="n">
        <v>342</v>
      </c>
      <c r="F15" s="8" t="n">
        <v>1</v>
      </c>
      <c r="G15" s="12" t="n">
        <v>8550000</v>
      </c>
      <c r="H15" s="12" t="n">
        <v>11760000</v>
      </c>
      <c r="I15" s="13" t="n">
        <v>1.37543859649123</v>
      </c>
    </row>
    <row r="16" customFormat="false" ht="15" hidden="false" customHeight="false" outlineLevel="0" collapsed="false">
      <c r="A16" s="4" t="s">
        <v>18</v>
      </c>
      <c r="B16" s="4" t="s">
        <v>16</v>
      </c>
      <c r="C16" s="6" t="n">
        <v>284</v>
      </c>
      <c r="D16" s="4" t="s">
        <v>128</v>
      </c>
      <c r="E16" s="6" t="n">
        <v>284</v>
      </c>
      <c r="F16" s="8" t="n">
        <v>1</v>
      </c>
      <c r="G16" s="12" t="n">
        <v>7100000</v>
      </c>
      <c r="H16" s="12" t="n">
        <v>9960000</v>
      </c>
      <c r="I16" s="13" t="n">
        <v>1.40281690140845</v>
      </c>
    </row>
    <row r="17" customFormat="false" ht="15" hidden="false" customHeight="false" outlineLevel="0" collapsed="false">
      <c r="A17" s="4" t="s">
        <v>23</v>
      </c>
      <c r="B17" s="4" t="s">
        <v>21</v>
      </c>
      <c r="C17" s="6" t="n">
        <v>280</v>
      </c>
      <c r="D17" s="4" t="s">
        <v>128</v>
      </c>
      <c r="E17" s="6" t="n">
        <v>280</v>
      </c>
      <c r="F17" s="8" t="n">
        <v>1</v>
      </c>
      <c r="G17" s="12" t="n">
        <v>7000000</v>
      </c>
      <c r="H17" s="12" t="n">
        <v>10260000</v>
      </c>
      <c r="I17" s="13" t="n">
        <v>1.46571428571429</v>
      </c>
    </row>
    <row r="18" customFormat="false" ht="15" hidden="false" customHeight="false" outlineLevel="0" collapsed="false">
      <c r="A18" s="4" t="s">
        <v>43</v>
      </c>
      <c r="B18" s="4" t="s">
        <v>33</v>
      </c>
      <c r="C18" s="6" t="n">
        <v>688</v>
      </c>
      <c r="D18" s="4" t="s">
        <v>127</v>
      </c>
      <c r="E18" s="6" t="n">
        <v>314</v>
      </c>
      <c r="F18" s="8" t="n">
        <v>0.456395348837209</v>
      </c>
      <c r="G18" s="12" t="n">
        <v>7850000</v>
      </c>
      <c r="H18" s="12" t="n">
        <v>13850000</v>
      </c>
      <c r="I18" s="21" t="n">
        <v>1.76433121019108</v>
      </c>
    </row>
    <row r="19" customFormat="false" ht="15" hidden="false" customHeight="false" outlineLevel="0" collapsed="false">
      <c r="A19" s="4" t="s">
        <v>30</v>
      </c>
      <c r="B19" s="4" t="s">
        <v>21</v>
      </c>
      <c r="C19" s="6" t="n">
        <v>640</v>
      </c>
      <c r="D19" s="4" t="s">
        <v>127</v>
      </c>
      <c r="E19" s="6" t="n">
        <v>508</v>
      </c>
      <c r="F19" s="8" t="n">
        <v>0.79375</v>
      </c>
      <c r="G19" s="12" t="n">
        <v>12700000</v>
      </c>
      <c r="H19" s="12" t="n">
        <v>24000000</v>
      </c>
      <c r="I19" s="21" t="n">
        <v>1.88976377952756</v>
      </c>
    </row>
    <row r="20" customFormat="false" ht="15" hidden="false" customHeight="false" outlineLevel="0" collapsed="false">
      <c r="A20" s="4" t="s">
        <v>39</v>
      </c>
      <c r="B20" s="4" t="s">
        <v>33</v>
      </c>
      <c r="C20" s="6" t="n">
        <v>1066</v>
      </c>
      <c r="D20" s="4" t="s">
        <v>127</v>
      </c>
      <c r="E20" s="6" t="n">
        <v>409</v>
      </c>
      <c r="F20" s="8" t="n">
        <v>0.383677298311445</v>
      </c>
      <c r="G20" s="12" t="n">
        <v>10225000</v>
      </c>
      <c r="H20" s="12" t="n">
        <v>20300000</v>
      </c>
      <c r="I20" s="21" t="n">
        <v>1.98533007334963</v>
      </c>
    </row>
    <row r="21" customFormat="false" ht="15" hidden="false" customHeight="false" outlineLevel="0" collapsed="false">
      <c r="A21" s="4" t="s">
        <v>47</v>
      </c>
      <c r="B21" s="4" t="s">
        <v>21</v>
      </c>
      <c r="C21" s="6" t="n">
        <v>1072</v>
      </c>
      <c r="D21" s="4" t="s">
        <v>127</v>
      </c>
      <c r="E21" s="6" t="n">
        <v>256</v>
      </c>
      <c r="F21" s="8" t="n">
        <v>0.238805970149254</v>
      </c>
      <c r="G21" s="12" t="n">
        <v>6400000</v>
      </c>
      <c r="H21" s="12" t="n">
        <v>14750000</v>
      </c>
      <c r="I21" s="21" t="n">
        <v>2.3046875</v>
      </c>
    </row>
    <row r="22" customFormat="false" ht="15" hidden="false" customHeight="false" outlineLevel="0" collapsed="false">
      <c r="A22" s="4" t="s">
        <v>35</v>
      </c>
      <c r="B22" s="4" t="s">
        <v>16</v>
      </c>
      <c r="C22" s="6" t="n">
        <v>552</v>
      </c>
      <c r="D22" s="4" t="s">
        <v>127</v>
      </c>
      <c r="E22" s="6" t="n">
        <v>404</v>
      </c>
      <c r="F22" s="8" t="n">
        <v>0.731884057971015</v>
      </c>
      <c r="G22" s="12" t="n">
        <v>10100000</v>
      </c>
      <c r="H22" s="12" t="n">
        <v>24000000</v>
      </c>
      <c r="I22" s="21" t="n">
        <v>2.37623762376238</v>
      </c>
    </row>
    <row r="23" customFormat="false" ht="15" hidden="false" customHeight="false" outlineLevel="0" collapsed="false">
      <c r="A23" s="4" t="s">
        <v>48</v>
      </c>
      <c r="B23" s="4" t="s">
        <v>16</v>
      </c>
      <c r="C23" s="6" t="n">
        <v>596</v>
      </c>
      <c r="D23" s="4" t="s">
        <v>127</v>
      </c>
      <c r="E23" s="6" t="n">
        <v>180</v>
      </c>
      <c r="F23" s="8" t="n">
        <v>0.302013422818792</v>
      </c>
      <c r="G23" s="12" t="n">
        <v>4500000</v>
      </c>
      <c r="H23" s="12" t="n">
        <v>24000000</v>
      </c>
      <c r="I23" s="7" t="n">
        <v>5.33333333333333</v>
      </c>
    </row>
    <row r="24" customFormat="false" ht="15" hidden="false" customHeight="false" outlineLevel="0" collapsed="false">
      <c r="A24" s="4" t="s">
        <v>57</v>
      </c>
      <c r="B24" s="4" t="s">
        <v>38</v>
      </c>
      <c r="C24" s="6" t="n">
        <v>632</v>
      </c>
      <c r="D24" s="4" t="s">
        <v>127</v>
      </c>
      <c r="E24" s="6" t="n">
        <v>64</v>
      </c>
      <c r="F24" s="8" t="n">
        <v>0.10126582278481</v>
      </c>
      <c r="G24" s="12" t="n">
        <v>1600000</v>
      </c>
      <c r="H24" s="12" t="n">
        <v>24000000</v>
      </c>
      <c r="I24" s="7" t="n">
        <v>15</v>
      </c>
    </row>
  </sheetData>
  <mergeCells count="2">
    <mergeCell ref="A1:I1"/>
    <mergeCell ref="A2:I2"/>
  </mergeCells>
  <conditionalFormatting sqref="F5:F2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34.5" hidden="false" customHeight="true" outlineLevel="0" collapsed="false">
      <c r="A1" s="22" t="s">
        <v>129</v>
      </c>
      <c r="B1" s="22"/>
      <c r="C1" s="22"/>
      <c r="D1" s="22"/>
      <c r="E1" s="22"/>
      <c r="F1" s="22"/>
      <c r="G1" s="22"/>
      <c r="H1" s="22"/>
    </row>
    <row r="2" customFormat="false" ht="19.5" hidden="false" customHeight="true" outlineLevel="0" collapsed="false">
      <c r="A2" s="20" t="s">
        <v>130</v>
      </c>
      <c r="B2" s="20"/>
      <c r="C2" s="20"/>
      <c r="D2" s="20"/>
      <c r="E2" s="20"/>
      <c r="F2" s="20"/>
      <c r="G2" s="20"/>
      <c r="H2" s="20"/>
    </row>
    <row r="4" customFormat="false" ht="17.35" hidden="false" customHeight="false" outlineLevel="0" collapsed="false">
      <c r="A4" s="23" t="s">
        <v>131</v>
      </c>
      <c r="B4" s="23"/>
      <c r="C4" s="23"/>
      <c r="D4" s="23"/>
      <c r="E4" s="23"/>
      <c r="F4" s="23"/>
      <c r="G4" s="23"/>
      <c r="H4" s="23"/>
    </row>
    <row r="5" customFormat="false" ht="15" hidden="false" customHeight="false" outlineLevel="0" collapsed="false">
      <c r="A5" s="24" t="s">
        <v>21</v>
      </c>
      <c r="B5" s="15" t="n">
        <v>10</v>
      </c>
      <c r="C5" s="15" t="s">
        <v>132</v>
      </c>
    </row>
    <row r="6" customFormat="false" ht="15" hidden="false" customHeight="false" outlineLevel="0" collapsed="false">
      <c r="A6" s="24" t="s">
        <v>16</v>
      </c>
      <c r="B6" s="15" t="n">
        <v>8</v>
      </c>
      <c r="C6" s="15" t="s">
        <v>132</v>
      </c>
    </row>
    <row r="7" customFormat="false" ht="15" hidden="false" customHeight="false" outlineLevel="0" collapsed="false">
      <c r="A7" s="24" t="s">
        <v>38</v>
      </c>
      <c r="B7" s="15" t="n">
        <v>14</v>
      </c>
      <c r="C7" s="15" t="s">
        <v>132</v>
      </c>
    </row>
    <row r="8" customFormat="false" ht="15" hidden="false" customHeight="false" outlineLevel="0" collapsed="false">
      <c r="A8" s="24" t="s">
        <v>33</v>
      </c>
      <c r="B8" s="15" t="n">
        <v>5</v>
      </c>
      <c r="C8" s="15" t="s">
        <v>132</v>
      </c>
    </row>
    <row r="9" customFormat="false" ht="15" hidden="false" customHeight="false" outlineLevel="0" collapsed="false">
      <c r="A9" s="25" t="s">
        <v>133</v>
      </c>
      <c r="B9" s="15" t="n">
        <v>8</v>
      </c>
      <c r="C9" s="15" t="s">
        <v>132</v>
      </c>
    </row>
    <row r="11" customFormat="false" ht="17.35" hidden="false" customHeight="false" outlineLevel="0" collapsed="false">
      <c r="A11" s="23" t="s">
        <v>134</v>
      </c>
      <c r="B11" s="23"/>
      <c r="C11" s="23"/>
      <c r="D11" s="23"/>
      <c r="E11" s="23"/>
      <c r="F11" s="23"/>
      <c r="G11" s="23"/>
      <c r="H11" s="23"/>
    </row>
    <row r="12" customFormat="false" ht="30" hidden="false" customHeight="true" outlineLevel="0" collapsed="false">
      <c r="A12" s="26" t="s">
        <v>135</v>
      </c>
      <c r="B12" s="26"/>
      <c r="C12" s="26"/>
      <c r="D12" s="26"/>
      <c r="E12" s="26"/>
      <c r="F12" s="26"/>
      <c r="G12" s="26"/>
      <c r="H12" s="26"/>
    </row>
    <row r="13" customFormat="false" ht="15" hidden="false" customHeight="false" outlineLevel="0" collapsed="false">
      <c r="A13" s="27" t="s">
        <v>136</v>
      </c>
      <c r="B13" s="27"/>
      <c r="C13" s="27"/>
      <c r="D13" s="27"/>
      <c r="E13" s="27"/>
      <c r="F13" s="27"/>
      <c r="G13" s="27"/>
      <c r="H13" s="27"/>
    </row>
    <row r="15" customFormat="false" ht="17.35" hidden="false" customHeight="false" outlineLevel="0" collapsed="false">
      <c r="A15" s="23" t="s">
        <v>137</v>
      </c>
      <c r="B15" s="23"/>
      <c r="C15" s="23"/>
      <c r="D15" s="23"/>
      <c r="E15" s="23"/>
      <c r="F15" s="23"/>
      <c r="G15" s="23"/>
      <c r="H15" s="23"/>
    </row>
    <row r="16" customFormat="false" ht="21.75" hidden="false" customHeight="true" outlineLevel="0" collapsed="false">
      <c r="A16" s="14" t="s">
        <v>138</v>
      </c>
      <c r="B16" s="14"/>
      <c r="C16" s="14"/>
      <c r="D16" s="14"/>
      <c r="E16" s="14"/>
      <c r="F16" s="14"/>
      <c r="G16" s="14"/>
      <c r="H16" s="14"/>
    </row>
    <row r="17" customFormat="false" ht="21.75" hidden="false" customHeight="true" outlineLevel="0" collapsed="false">
      <c r="A17" s="14" t="s">
        <v>139</v>
      </c>
      <c r="B17" s="14"/>
      <c r="C17" s="14"/>
      <c r="D17" s="14"/>
      <c r="E17" s="14"/>
      <c r="F17" s="14"/>
      <c r="G17" s="14"/>
      <c r="H17" s="14"/>
    </row>
    <row r="18" customFormat="false" ht="21.75" hidden="false" customHeight="true" outlineLevel="0" collapsed="false">
      <c r="A18" s="14" t="s">
        <v>140</v>
      </c>
      <c r="B18" s="14"/>
      <c r="C18" s="14"/>
      <c r="D18" s="14"/>
      <c r="E18" s="14"/>
      <c r="F18" s="14"/>
      <c r="G18" s="14"/>
      <c r="H18" s="14"/>
    </row>
    <row r="19" customFormat="false" ht="21.75" hidden="false" customHeight="true" outlineLevel="0" collapsed="false">
      <c r="A19" s="14" t="s">
        <v>141</v>
      </c>
      <c r="B19" s="14"/>
      <c r="C19" s="14"/>
      <c r="D19" s="14"/>
      <c r="E19" s="14"/>
      <c r="F19" s="14"/>
      <c r="G19" s="14"/>
      <c r="H19" s="14"/>
    </row>
    <row r="20" customFormat="false" ht="21.75" hidden="false" customHeight="true" outlineLevel="0" collapsed="false">
      <c r="A20" s="14" t="s">
        <v>142</v>
      </c>
      <c r="B20" s="14"/>
      <c r="C20" s="14"/>
      <c r="D20" s="14"/>
      <c r="E20" s="14"/>
      <c r="F20" s="14"/>
      <c r="G20" s="14"/>
      <c r="H20" s="14"/>
    </row>
    <row r="22" customFormat="false" ht="17.35" hidden="false" customHeight="false" outlineLevel="0" collapsed="false">
      <c r="A22" s="23" t="s">
        <v>143</v>
      </c>
      <c r="B22" s="23"/>
      <c r="C22" s="23"/>
      <c r="D22" s="23"/>
      <c r="E22" s="23"/>
      <c r="F22" s="23"/>
      <c r="G22" s="23"/>
      <c r="H22" s="23"/>
    </row>
    <row r="23" customFormat="false" ht="26.85" hidden="false" customHeight="false" outlineLevel="0" collapsed="false">
      <c r="A23" s="3" t="s">
        <v>144</v>
      </c>
      <c r="B23" s="3" t="s">
        <v>60</v>
      </c>
      <c r="C23" s="3" t="s">
        <v>145</v>
      </c>
      <c r="D23" s="3" t="s">
        <v>146</v>
      </c>
      <c r="E23" s="3" t="s">
        <v>147</v>
      </c>
      <c r="F23" s="3" t="s">
        <v>148</v>
      </c>
      <c r="G23" s="3" t="s">
        <v>149</v>
      </c>
    </row>
    <row r="24" customFormat="false" ht="15" hidden="false" customHeight="false" outlineLevel="0" collapsed="false">
      <c r="A24" s="28" t="s">
        <v>19</v>
      </c>
      <c r="B24" s="4" t="s">
        <v>21</v>
      </c>
      <c r="C24" s="6" t="n">
        <v>440</v>
      </c>
      <c r="D24" s="12" t="n">
        <v>11000000</v>
      </c>
      <c r="E24" s="12" t="n">
        <v>6710000</v>
      </c>
      <c r="F24" s="7" t="n">
        <v>0.6</v>
      </c>
      <c r="G24" s="8" t="n">
        <v>7.197</v>
      </c>
    </row>
    <row r="25" customFormat="false" ht="15" hidden="false" customHeight="false" outlineLevel="0" collapsed="false">
      <c r="A25" s="28" t="s">
        <v>26</v>
      </c>
      <c r="B25" s="4" t="s">
        <v>21</v>
      </c>
      <c r="C25" s="6" t="n">
        <v>442</v>
      </c>
      <c r="D25" s="12" t="n">
        <v>11050000</v>
      </c>
      <c r="E25" s="12" t="n">
        <v>6710000</v>
      </c>
      <c r="F25" s="7" t="n">
        <v>0.6</v>
      </c>
      <c r="G25" s="8" t="n">
        <v>7.234</v>
      </c>
    </row>
    <row r="26" customFormat="false" ht="15" hidden="false" customHeight="false" outlineLevel="0" collapsed="false">
      <c r="A26" s="28" t="s">
        <v>22</v>
      </c>
      <c r="B26" s="4" t="s">
        <v>16</v>
      </c>
      <c r="C26" s="6" t="n">
        <v>333</v>
      </c>
      <c r="D26" s="12" t="n">
        <v>8325000</v>
      </c>
      <c r="E26" s="12" t="n">
        <v>8300000</v>
      </c>
      <c r="F26" s="7" t="n">
        <v>1</v>
      </c>
      <c r="G26" s="8" t="n">
        <v>4.015</v>
      </c>
    </row>
    <row r="27" customFormat="false" ht="15" hidden="false" customHeight="false" outlineLevel="0" collapsed="false">
      <c r="A27" s="28" t="s">
        <v>29</v>
      </c>
      <c r="B27" s="4" t="s">
        <v>21</v>
      </c>
      <c r="C27" s="6" t="n">
        <v>377</v>
      </c>
      <c r="D27" s="12" t="n">
        <v>9425000</v>
      </c>
      <c r="E27" s="12" t="n">
        <v>9200000</v>
      </c>
      <c r="F27" s="7" t="n">
        <v>1</v>
      </c>
      <c r="G27" s="8" t="n">
        <v>4.122</v>
      </c>
    </row>
    <row r="28" customFormat="false" ht="15" hidden="false" customHeight="false" outlineLevel="0" collapsed="false">
      <c r="A28" s="28" t="s">
        <v>32</v>
      </c>
      <c r="B28" s="4" t="s">
        <v>33</v>
      </c>
      <c r="C28" s="6" t="n">
        <v>351</v>
      </c>
      <c r="D28" s="12" t="n">
        <v>8775000</v>
      </c>
      <c r="E28" s="12" t="n">
        <v>9200000</v>
      </c>
      <c r="F28" s="7" t="n">
        <v>1</v>
      </c>
      <c r="G28" s="8" t="n">
        <v>3.769</v>
      </c>
    </row>
    <row r="31" customFormat="false" ht="17.35" hidden="false" customHeight="false" outlineLevel="0" collapsed="false">
      <c r="A31" s="23" t="s">
        <v>150</v>
      </c>
      <c r="B31" s="23"/>
      <c r="C31" s="23"/>
      <c r="D31" s="23"/>
      <c r="E31" s="23"/>
      <c r="F31" s="23"/>
      <c r="G31" s="23"/>
      <c r="H31" s="23"/>
    </row>
    <row r="32" customFormat="false" ht="24.75" hidden="false" customHeight="true" outlineLevel="0" collapsed="false">
      <c r="A32" s="29" t="s">
        <v>151</v>
      </c>
      <c r="B32" s="29"/>
      <c r="C32" s="29"/>
      <c r="D32" s="29"/>
      <c r="E32" s="29"/>
      <c r="F32" s="29"/>
      <c r="G32" s="29"/>
      <c r="H32" s="29"/>
    </row>
    <row r="33" customFormat="false" ht="24.75" hidden="false" customHeight="true" outlineLevel="0" collapsed="false">
      <c r="A33" s="29" t="s">
        <v>152</v>
      </c>
      <c r="B33" s="29"/>
      <c r="C33" s="29"/>
      <c r="D33" s="29"/>
      <c r="E33" s="29"/>
      <c r="F33" s="29"/>
      <c r="G33" s="29"/>
      <c r="H33" s="29"/>
    </row>
    <row r="34" customFormat="false" ht="24.75" hidden="false" customHeight="true" outlineLevel="0" collapsed="false">
      <c r="A34" s="29" t="s">
        <v>153</v>
      </c>
      <c r="B34" s="29"/>
      <c r="C34" s="29"/>
      <c r="D34" s="29"/>
      <c r="E34" s="29"/>
      <c r="F34" s="29"/>
      <c r="G34" s="29"/>
      <c r="H34" s="29"/>
    </row>
    <row r="35" customFormat="false" ht="24.75" hidden="false" customHeight="true" outlineLevel="0" collapsed="false">
      <c r="A35" s="29" t="s">
        <v>154</v>
      </c>
      <c r="B35" s="29"/>
      <c r="C35" s="29"/>
      <c r="D35" s="29"/>
      <c r="E35" s="29"/>
      <c r="F35" s="29"/>
      <c r="G35" s="29"/>
      <c r="H35" s="29"/>
    </row>
    <row r="36" customFormat="false" ht="24.75" hidden="false" customHeight="true" outlineLevel="0" collapsed="false">
      <c r="A36" s="29" t="s">
        <v>155</v>
      </c>
      <c r="B36" s="29"/>
      <c r="C36" s="29"/>
      <c r="D36" s="29"/>
      <c r="E36" s="29"/>
      <c r="F36" s="29"/>
      <c r="G36" s="29"/>
      <c r="H36" s="29"/>
    </row>
    <row r="37" customFormat="false" ht="24.75" hidden="false" customHeight="true" outlineLevel="0" collapsed="false">
      <c r="A37" s="29" t="s">
        <v>156</v>
      </c>
      <c r="B37" s="29"/>
      <c r="C37" s="29"/>
      <c r="D37" s="29"/>
      <c r="E37" s="29"/>
      <c r="F37" s="29"/>
      <c r="G37" s="29"/>
      <c r="H37" s="29"/>
    </row>
  </sheetData>
  <mergeCells count="20">
    <mergeCell ref="A1:H1"/>
    <mergeCell ref="A2:H2"/>
    <mergeCell ref="A4:H4"/>
    <mergeCell ref="A11:H11"/>
    <mergeCell ref="A12:H12"/>
    <mergeCell ref="A13:H13"/>
    <mergeCell ref="A15:H15"/>
    <mergeCell ref="A16:H16"/>
    <mergeCell ref="A17:H17"/>
    <mergeCell ref="A18:H18"/>
    <mergeCell ref="A19:H19"/>
    <mergeCell ref="A20:H20"/>
    <mergeCell ref="A22:H22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2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0" width="3"/>
    <col collapsed="false" customWidth="true" hidden="false" outlineLevel="0" max="2" min="2" style="30" width="30"/>
    <col collapsed="false" customWidth="true" hidden="false" outlineLevel="0" max="7" min="3" style="30" width="18"/>
  </cols>
  <sheetData>
    <row r="2" customFormat="false" ht="34.5" hidden="false" customHeight="true" outlineLevel="0" collapsed="false">
      <c r="B2" s="31" t="s">
        <v>157</v>
      </c>
      <c r="C2" s="31"/>
      <c r="D2" s="31"/>
      <c r="E2" s="31"/>
      <c r="F2" s="31"/>
      <c r="G2" s="31"/>
    </row>
    <row r="3" customFormat="false" ht="21.75" hidden="false" customHeight="true" outlineLevel="0" collapsed="false">
      <c r="B3" s="32" t="s">
        <v>158</v>
      </c>
      <c r="C3" s="32"/>
      <c r="D3" s="32"/>
      <c r="E3" s="32"/>
      <c r="F3" s="32"/>
      <c r="G3" s="32"/>
    </row>
    <row r="5" customFormat="false" ht="15" hidden="false" customHeight="true" outlineLevel="0" collapsed="false">
      <c r="B5" s="33" t="s">
        <v>159</v>
      </c>
      <c r="C5" s="33"/>
      <c r="D5" s="33"/>
      <c r="E5" s="33"/>
      <c r="F5" s="33"/>
      <c r="G5" s="33"/>
    </row>
    <row r="7" customFormat="false" ht="15" hidden="false" customHeight="true" outlineLevel="0" collapsed="false">
      <c r="B7" s="34" t="s">
        <v>160</v>
      </c>
      <c r="C7" s="35" t="n">
        <v>45</v>
      </c>
    </row>
    <row r="8" customFormat="false" ht="15" hidden="false" customHeight="true" outlineLevel="0" collapsed="false">
      <c r="B8" s="34" t="s">
        <v>161</v>
      </c>
      <c r="C8" s="35" t="n">
        <v>24</v>
      </c>
    </row>
    <row r="9" customFormat="false" ht="15" hidden="false" customHeight="true" outlineLevel="0" collapsed="false">
      <c r="B9" s="34" t="s">
        <v>162</v>
      </c>
      <c r="C9" s="35" t="n">
        <v>21</v>
      </c>
    </row>
    <row r="10" customFormat="false" ht="15" hidden="false" customHeight="true" outlineLevel="0" collapsed="false">
      <c r="B10" s="36"/>
      <c r="C10" s="35"/>
    </row>
    <row r="11" customFormat="false" ht="15" hidden="false" customHeight="true" outlineLevel="0" collapsed="false">
      <c r="B11" s="37" t="s">
        <v>163</v>
      </c>
      <c r="C11" s="38" t="n">
        <v>8</v>
      </c>
    </row>
    <row r="12" customFormat="false" ht="15" hidden="false" customHeight="true" outlineLevel="0" collapsed="false">
      <c r="B12" s="39" t="s">
        <v>164</v>
      </c>
      <c r="C12" s="40" t="n">
        <v>7</v>
      </c>
    </row>
    <row r="13" customFormat="false" ht="15" hidden="false" customHeight="true" outlineLevel="0" collapsed="false">
      <c r="B13" s="34" t="s">
        <v>165</v>
      </c>
      <c r="C13" s="35" t="n">
        <v>17</v>
      </c>
    </row>
    <row r="14" customFormat="false" ht="15" hidden="false" customHeight="true" outlineLevel="0" collapsed="false">
      <c r="B14" s="34" t="s">
        <v>166</v>
      </c>
      <c r="C14" s="35" t="n">
        <v>5</v>
      </c>
    </row>
    <row r="15" customFormat="false" ht="15" hidden="false" customHeight="true" outlineLevel="0" collapsed="false">
      <c r="B15" s="41" t="s">
        <v>133</v>
      </c>
      <c r="C15" s="42" t="n">
        <v>8</v>
      </c>
    </row>
    <row r="17" customFormat="false" ht="15" hidden="false" customHeight="true" outlineLevel="0" collapsed="false">
      <c r="B17" s="33" t="s">
        <v>167</v>
      </c>
      <c r="C17" s="33"/>
      <c r="D17" s="33"/>
      <c r="E17" s="33"/>
      <c r="F17" s="33"/>
      <c r="G17" s="33"/>
    </row>
    <row r="18" customFormat="false" ht="15" hidden="false" customHeight="true" outlineLevel="0" collapsed="false">
      <c r="B18" s="43"/>
      <c r="C18" s="44" t="s">
        <v>168</v>
      </c>
      <c r="D18" s="44" t="s">
        <v>169</v>
      </c>
      <c r="E18" s="44" t="s">
        <v>170</v>
      </c>
    </row>
    <row r="19" customFormat="false" ht="15" hidden="false" customHeight="true" outlineLevel="0" collapsed="false">
      <c r="B19" s="34" t="s">
        <v>171</v>
      </c>
      <c r="C19" s="35" t="s">
        <v>172</v>
      </c>
      <c r="D19" s="35" t="s">
        <v>173</v>
      </c>
      <c r="E19" s="35" t="s">
        <v>174</v>
      </c>
    </row>
    <row r="20" customFormat="false" ht="15" hidden="false" customHeight="true" outlineLevel="0" collapsed="false">
      <c r="B20" s="34" t="s">
        <v>175</v>
      </c>
      <c r="C20" s="35" t="s">
        <v>176</v>
      </c>
      <c r="D20" s="35" t="s">
        <v>177</v>
      </c>
      <c r="E20" s="35" t="s">
        <v>178</v>
      </c>
    </row>
    <row r="21" customFormat="false" ht="15" hidden="false" customHeight="true" outlineLevel="0" collapsed="false">
      <c r="B21" s="34" t="s">
        <v>179</v>
      </c>
      <c r="C21" s="35" t="s">
        <v>180</v>
      </c>
      <c r="D21" s="35" t="s">
        <v>181</v>
      </c>
      <c r="E21" s="35" t="s">
        <v>182</v>
      </c>
    </row>
    <row r="24" customFormat="false" ht="15" hidden="false" customHeight="true" outlineLevel="0" collapsed="false">
      <c r="B24" s="33" t="s">
        <v>183</v>
      </c>
      <c r="C24" s="33"/>
      <c r="D24" s="33"/>
      <c r="E24" s="33"/>
      <c r="F24" s="33"/>
      <c r="G24" s="33"/>
    </row>
    <row r="25" customFormat="false" ht="15" hidden="false" customHeight="true" outlineLevel="0" collapsed="false">
      <c r="B25" s="44" t="s">
        <v>184</v>
      </c>
      <c r="C25" s="44" t="s">
        <v>185</v>
      </c>
      <c r="D25" s="44" t="s">
        <v>168</v>
      </c>
      <c r="E25" s="44" t="s">
        <v>169</v>
      </c>
      <c r="F25" s="44" t="s">
        <v>186</v>
      </c>
      <c r="G25" s="44" t="s">
        <v>187</v>
      </c>
    </row>
    <row r="26" customFormat="false" ht="15" hidden="false" customHeight="true" outlineLevel="0" collapsed="false">
      <c r="B26" s="34" t="s">
        <v>188</v>
      </c>
      <c r="C26" s="45" t="s">
        <v>189</v>
      </c>
      <c r="D26" s="45" t="s">
        <v>190</v>
      </c>
      <c r="E26" s="45" t="s">
        <v>191</v>
      </c>
      <c r="F26" s="45" t="s">
        <v>192</v>
      </c>
      <c r="G26" s="45" t="s">
        <v>193</v>
      </c>
    </row>
    <row r="27" customFormat="false" ht="15" hidden="false" customHeight="true" outlineLevel="0" collapsed="false">
      <c r="B27" s="34" t="s">
        <v>194</v>
      </c>
      <c r="C27" s="45" t="s">
        <v>195</v>
      </c>
      <c r="D27" s="45" t="s">
        <v>196</v>
      </c>
      <c r="E27" s="45" t="s">
        <v>197</v>
      </c>
      <c r="F27" s="45" t="s">
        <v>198</v>
      </c>
      <c r="G27" s="45" t="s">
        <v>199</v>
      </c>
    </row>
    <row r="28" customFormat="false" ht="15" hidden="false" customHeight="true" outlineLevel="0" collapsed="false">
      <c r="B28" s="34" t="s">
        <v>200</v>
      </c>
      <c r="C28" s="45" t="s">
        <v>201</v>
      </c>
      <c r="D28" s="45" t="s">
        <v>202</v>
      </c>
      <c r="E28" s="45" t="s">
        <v>203</v>
      </c>
      <c r="F28" s="45" t="s">
        <v>204</v>
      </c>
      <c r="G28" s="45" t="s">
        <v>205</v>
      </c>
    </row>
    <row r="31" customFormat="false" ht="15" hidden="false" customHeight="true" outlineLevel="0" collapsed="false">
      <c r="B31" s="33" t="s">
        <v>206</v>
      </c>
      <c r="C31" s="33"/>
      <c r="D31" s="33"/>
      <c r="E31" s="33"/>
      <c r="F31" s="33"/>
      <c r="G31" s="33"/>
    </row>
    <row r="32" customFormat="false" ht="30" hidden="false" customHeight="true" outlineLevel="0" collapsed="false">
      <c r="B32" s="46" t="s">
        <v>207</v>
      </c>
      <c r="C32" s="46"/>
      <c r="D32" s="46"/>
      <c r="E32" s="46"/>
      <c r="F32" s="46"/>
      <c r="G32" s="46"/>
    </row>
    <row r="33" customFormat="false" ht="30" hidden="false" customHeight="true" outlineLevel="0" collapsed="false">
      <c r="B33" s="46" t="s">
        <v>208</v>
      </c>
      <c r="C33" s="46"/>
      <c r="D33" s="46"/>
      <c r="E33" s="46"/>
      <c r="F33" s="46"/>
      <c r="G33" s="46"/>
    </row>
    <row r="34" customFormat="false" ht="30" hidden="false" customHeight="true" outlineLevel="0" collapsed="false">
      <c r="B34" s="46" t="s">
        <v>209</v>
      </c>
      <c r="C34" s="46"/>
      <c r="D34" s="46"/>
      <c r="E34" s="46"/>
      <c r="F34" s="46"/>
      <c r="G34" s="46"/>
    </row>
    <row r="35" customFormat="false" ht="30" hidden="false" customHeight="true" outlineLevel="0" collapsed="false">
      <c r="B35" s="46" t="s">
        <v>210</v>
      </c>
      <c r="C35" s="46"/>
      <c r="D35" s="46"/>
      <c r="E35" s="46"/>
      <c r="F35" s="46"/>
      <c r="G35" s="46"/>
    </row>
    <row r="36" customFormat="false" ht="30" hidden="false" customHeight="true" outlineLevel="0" collapsed="false">
      <c r="B36" s="46" t="s">
        <v>211</v>
      </c>
      <c r="C36" s="46"/>
      <c r="D36" s="46"/>
      <c r="E36" s="46"/>
      <c r="F36" s="46"/>
      <c r="G36" s="46"/>
    </row>
    <row r="37" customFormat="false" ht="30" hidden="false" customHeight="true" outlineLevel="0" collapsed="false">
      <c r="B37" s="46" t="s">
        <v>212</v>
      </c>
      <c r="C37" s="46"/>
      <c r="D37" s="46"/>
      <c r="E37" s="46"/>
      <c r="F37" s="46"/>
      <c r="G37" s="46"/>
    </row>
    <row r="38" customFormat="false" ht="30" hidden="false" customHeight="true" outlineLevel="0" collapsed="false">
      <c r="B38" s="46" t="s">
        <v>213</v>
      </c>
      <c r="C38" s="46"/>
      <c r="D38" s="46"/>
      <c r="E38" s="46"/>
      <c r="F38" s="46"/>
      <c r="G38" s="46"/>
    </row>
    <row r="39" customFormat="false" ht="30" hidden="false" customHeight="true" outlineLevel="0" collapsed="false">
      <c r="B39" s="46" t="s">
        <v>214</v>
      </c>
      <c r="C39" s="46"/>
      <c r="D39" s="46"/>
      <c r="E39" s="46"/>
      <c r="F39" s="46"/>
      <c r="G39" s="46"/>
    </row>
    <row r="41" customFormat="false" ht="18.75" hidden="false" customHeight="true" outlineLevel="0" collapsed="false">
      <c r="B41" s="47" t="s">
        <v>215</v>
      </c>
      <c r="C41" s="47"/>
      <c r="D41" s="47"/>
      <c r="E41" s="47"/>
      <c r="F41" s="47"/>
      <c r="G41" s="47"/>
    </row>
  </sheetData>
  <mergeCells count="15">
    <mergeCell ref="B2:G2"/>
    <mergeCell ref="B3:G3"/>
    <mergeCell ref="B5:G5"/>
    <mergeCell ref="B17:G17"/>
    <mergeCell ref="B24:G24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O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0" width="18"/>
    <col collapsed="false" customWidth="true" hidden="false" outlineLevel="0" max="2" min="2" style="30" width="28"/>
    <col collapsed="false" customWidth="true" hidden="false" outlineLevel="0" max="3" min="3" style="30" width="8"/>
    <col collapsed="false" customWidth="true" hidden="false" outlineLevel="0" max="4" min="4" style="30" width="35"/>
    <col collapsed="false" customWidth="true" hidden="false" outlineLevel="0" max="5" min="5" style="30" width="14"/>
    <col collapsed="false" customWidth="true" hidden="false" outlineLevel="0" max="6" min="6" style="30" width="10"/>
    <col collapsed="false" customWidth="true" hidden="false" outlineLevel="0" max="7" min="7" style="30" width="12"/>
    <col collapsed="false" customWidth="true" hidden="false" outlineLevel="0" max="8" min="8" style="30" width="10"/>
    <col collapsed="false" customWidth="true" hidden="false" outlineLevel="0" max="9" min="9" style="30" width="12"/>
    <col collapsed="false" customWidth="true" hidden="false" outlineLevel="0" max="10" min="10" style="30" width="16"/>
    <col collapsed="false" customWidth="true" hidden="false" outlineLevel="0" max="11" min="11" style="30" width="45"/>
    <col collapsed="false" customWidth="true" hidden="false" outlineLevel="0" max="14" min="12" style="30" width="30"/>
    <col collapsed="false" customWidth="true" hidden="false" outlineLevel="0" max="15" min="15" style="30" width="25"/>
  </cols>
  <sheetData>
    <row r="1" customFormat="false" ht="23.25" hidden="false" customHeight="true" outlineLevel="0" collapsed="false">
      <c r="A1" s="48" t="s">
        <v>216</v>
      </c>
      <c r="B1" s="48" t="s">
        <v>2</v>
      </c>
      <c r="C1" s="48" t="s">
        <v>3</v>
      </c>
      <c r="D1" s="48" t="s">
        <v>217</v>
      </c>
      <c r="E1" s="48" t="s">
        <v>218</v>
      </c>
      <c r="F1" s="48" t="s">
        <v>219</v>
      </c>
      <c r="G1" s="48" t="s">
        <v>220</v>
      </c>
      <c r="H1" s="48" t="s">
        <v>221</v>
      </c>
      <c r="I1" s="48" t="s">
        <v>184</v>
      </c>
      <c r="J1" s="48" t="s">
        <v>222</v>
      </c>
      <c r="K1" s="48" t="s">
        <v>223</v>
      </c>
      <c r="L1" s="48" t="s">
        <v>224</v>
      </c>
      <c r="M1" s="48" t="s">
        <v>225</v>
      </c>
      <c r="N1" s="48" t="s">
        <v>226</v>
      </c>
      <c r="O1" s="48" t="s">
        <v>227</v>
      </c>
    </row>
    <row r="2" customFormat="false" ht="34.5" hidden="false" customHeight="true" outlineLevel="0" collapsed="false">
      <c r="A2" s="49" t="s">
        <v>21</v>
      </c>
      <c r="B2" s="50" t="s">
        <v>47</v>
      </c>
      <c r="C2" s="50" t="s">
        <v>20</v>
      </c>
      <c r="D2" s="50" t="s">
        <v>228</v>
      </c>
      <c r="E2" s="51" t="n">
        <v>133942</v>
      </c>
      <c r="F2" s="52" t="n">
        <v>23</v>
      </c>
      <c r="G2" s="50" t="s">
        <v>229</v>
      </c>
      <c r="H2" s="50" t="s">
        <v>230</v>
      </c>
      <c r="I2" s="50" t="s">
        <v>200</v>
      </c>
      <c r="J2" s="50" t="s">
        <v>231</v>
      </c>
      <c r="K2" s="50" t="s">
        <v>232</v>
      </c>
      <c r="L2" s="50" t="s">
        <v>233</v>
      </c>
      <c r="M2" s="50" t="s">
        <v>234</v>
      </c>
      <c r="N2" s="50" t="s">
        <v>235</v>
      </c>
      <c r="O2" s="50" t="s">
        <v>236</v>
      </c>
    </row>
    <row r="3" customFormat="false" ht="90.75" hidden="false" customHeight="true" outlineLevel="0" collapsed="false">
      <c r="A3" s="49" t="s">
        <v>21</v>
      </c>
      <c r="B3" s="50" t="s">
        <v>24</v>
      </c>
      <c r="C3" s="50" t="s">
        <v>15</v>
      </c>
      <c r="D3" s="50" t="s">
        <v>237</v>
      </c>
      <c r="E3" s="51" t="n">
        <v>42708</v>
      </c>
      <c r="F3" s="52" t="n">
        <v>16.4</v>
      </c>
      <c r="G3" s="50" t="s">
        <v>238</v>
      </c>
      <c r="H3" s="50" t="s">
        <v>230</v>
      </c>
      <c r="I3" s="50" t="s">
        <v>194</v>
      </c>
      <c r="J3" s="50" t="s">
        <v>231</v>
      </c>
      <c r="K3" s="50" t="s">
        <v>239</v>
      </c>
      <c r="L3" s="50" t="s">
        <v>240</v>
      </c>
      <c r="M3" s="50" t="s">
        <v>241</v>
      </c>
      <c r="N3" s="50" t="s">
        <v>242</v>
      </c>
      <c r="O3" s="50" t="s">
        <v>243</v>
      </c>
    </row>
    <row r="4" customFormat="false" ht="236.25" hidden="false" customHeight="true" outlineLevel="0" collapsed="false">
      <c r="A4" s="49" t="s">
        <v>21</v>
      </c>
      <c r="B4" s="50" t="s">
        <v>30</v>
      </c>
      <c r="C4" s="50" t="s">
        <v>20</v>
      </c>
      <c r="D4" s="50" t="s">
        <v>244</v>
      </c>
      <c r="E4" s="51" t="n">
        <v>80000</v>
      </c>
      <c r="F4" s="52" t="n">
        <v>11.71</v>
      </c>
      <c r="G4" s="50" t="s">
        <v>245</v>
      </c>
      <c r="H4" s="50" t="s">
        <v>230</v>
      </c>
      <c r="I4" s="50" t="s">
        <v>200</v>
      </c>
      <c r="J4" s="50" t="s">
        <v>231</v>
      </c>
      <c r="K4" s="50" t="s">
        <v>246</v>
      </c>
      <c r="L4" s="50" t="s">
        <v>247</v>
      </c>
      <c r="M4" s="50" t="s">
        <v>248</v>
      </c>
      <c r="N4" s="50" t="s">
        <v>249</v>
      </c>
      <c r="O4" s="50" t="s">
        <v>250</v>
      </c>
    </row>
    <row r="5" customFormat="false" ht="34.5" hidden="false" customHeight="true" outlineLevel="0" collapsed="false">
      <c r="A5" s="49" t="s">
        <v>21</v>
      </c>
      <c r="B5" s="50" t="s">
        <v>31</v>
      </c>
      <c r="C5" s="50" t="s">
        <v>20</v>
      </c>
      <c r="D5" s="50" t="s">
        <v>251</v>
      </c>
      <c r="E5" s="51" t="n">
        <v>66467</v>
      </c>
      <c r="F5" s="52" t="n">
        <v>10</v>
      </c>
      <c r="G5" s="50" t="s">
        <v>252</v>
      </c>
      <c r="H5" s="50" t="s">
        <v>230</v>
      </c>
      <c r="I5" s="50" t="s">
        <v>200</v>
      </c>
      <c r="J5" s="50" t="s">
        <v>231</v>
      </c>
      <c r="K5" s="50" t="s">
        <v>253</v>
      </c>
      <c r="L5" s="50" t="s">
        <v>254</v>
      </c>
      <c r="M5" s="50" t="s">
        <v>255</v>
      </c>
      <c r="N5" s="50" t="s">
        <v>256</v>
      </c>
      <c r="O5" s="50" t="s">
        <v>257</v>
      </c>
    </row>
    <row r="6" customFormat="false" ht="157.5" hidden="false" customHeight="true" outlineLevel="0" collapsed="false">
      <c r="A6" s="49" t="s">
        <v>21</v>
      </c>
      <c r="B6" s="50" t="s">
        <v>29</v>
      </c>
      <c r="C6" s="50" t="s">
        <v>20</v>
      </c>
      <c r="D6" s="50" t="s">
        <v>258</v>
      </c>
      <c r="E6" s="51" t="n">
        <v>47100</v>
      </c>
      <c r="F6" s="52" t="n">
        <v>9</v>
      </c>
      <c r="G6" s="50" t="s">
        <v>259</v>
      </c>
      <c r="H6" s="50" t="s">
        <v>230</v>
      </c>
      <c r="I6" s="50" t="s">
        <v>194</v>
      </c>
      <c r="J6" s="50" t="s">
        <v>260</v>
      </c>
      <c r="K6" s="50" t="s">
        <v>261</v>
      </c>
      <c r="L6" s="50" t="s">
        <v>262</v>
      </c>
      <c r="M6" s="50" t="s">
        <v>263</v>
      </c>
      <c r="N6" s="50" t="s">
        <v>264</v>
      </c>
      <c r="O6" s="50" t="s">
        <v>265</v>
      </c>
    </row>
    <row r="7" customFormat="false" ht="79.5" hidden="false" customHeight="true" outlineLevel="0" collapsed="false">
      <c r="A7" s="49" t="s">
        <v>21</v>
      </c>
      <c r="B7" s="50" t="s">
        <v>26</v>
      </c>
      <c r="C7" s="50" t="s">
        <v>20</v>
      </c>
      <c r="D7" s="50" t="s">
        <v>266</v>
      </c>
      <c r="E7" s="51" t="n">
        <v>55301</v>
      </c>
      <c r="F7" s="52" t="n">
        <v>9</v>
      </c>
      <c r="G7" s="50" t="s">
        <v>267</v>
      </c>
      <c r="H7" s="50" t="s">
        <v>230</v>
      </c>
      <c r="I7" s="50" t="s">
        <v>194</v>
      </c>
      <c r="J7" s="50" t="s">
        <v>260</v>
      </c>
      <c r="K7" s="50" t="s">
        <v>268</v>
      </c>
      <c r="L7" s="50" t="s">
        <v>269</v>
      </c>
      <c r="M7" s="50" t="s">
        <v>270</v>
      </c>
      <c r="N7" s="50" t="s">
        <v>271</v>
      </c>
      <c r="O7" s="50" t="s">
        <v>272</v>
      </c>
    </row>
    <row r="8" customFormat="false" ht="147" hidden="false" customHeight="true" outlineLevel="0" collapsed="false">
      <c r="A8" s="49" t="s">
        <v>21</v>
      </c>
      <c r="B8" s="50" t="s">
        <v>19</v>
      </c>
      <c r="C8" s="50" t="s">
        <v>20</v>
      </c>
      <c r="D8" s="50" t="s">
        <v>273</v>
      </c>
      <c r="E8" s="51" t="n">
        <v>54971</v>
      </c>
      <c r="F8" s="52" t="n">
        <v>6.02</v>
      </c>
      <c r="G8" s="50" t="s">
        <v>274</v>
      </c>
      <c r="H8" s="50" t="s">
        <v>230</v>
      </c>
      <c r="I8" s="50" t="s">
        <v>194</v>
      </c>
      <c r="J8" s="50" t="s">
        <v>260</v>
      </c>
      <c r="K8" s="50" t="s">
        <v>275</v>
      </c>
      <c r="L8" s="50" t="s">
        <v>276</v>
      </c>
      <c r="M8" s="50" t="s">
        <v>277</v>
      </c>
      <c r="N8" s="50" t="s">
        <v>278</v>
      </c>
      <c r="O8" s="50" t="s">
        <v>279</v>
      </c>
    </row>
    <row r="9" customFormat="false" ht="34.5" hidden="false" customHeight="true" outlineLevel="0" collapsed="false">
      <c r="A9" s="49" t="s">
        <v>21</v>
      </c>
      <c r="B9" s="50" t="s">
        <v>28</v>
      </c>
      <c r="C9" s="50" t="s">
        <v>15</v>
      </c>
      <c r="D9" s="50" t="s">
        <v>280</v>
      </c>
      <c r="E9" s="51" t="n">
        <v>66000</v>
      </c>
      <c r="F9" s="52" t="n">
        <v>5.26</v>
      </c>
      <c r="G9" s="50" t="s">
        <v>281</v>
      </c>
      <c r="H9" s="50" t="s">
        <v>230</v>
      </c>
      <c r="I9" s="50" t="s">
        <v>200</v>
      </c>
      <c r="J9" s="50" t="s">
        <v>260</v>
      </c>
      <c r="K9" s="50" t="s">
        <v>282</v>
      </c>
      <c r="L9" s="50" t="s">
        <v>283</v>
      </c>
      <c r="M9" s="50" t="s">
        <v>284</v>
      </c>
      <c r="N9" s="50" t="s">
        <v>285</v>
      </c>
      <c r="O9" s="50" t="s">
        <v>286</v>
      </c>
    </row>
    <row r="10" customFormat="false" ht="180" hidden="false" customHeight="true" outlineLevel="0" collapsed="false">
      <c r="A10" s="53" t="s">
        <v>16</v>
      </c>
      <c r="B10" s="50" t="s">
        <v>57</v>
      </c>
      <c r="C10" s="50" t="s">
        <v>20</v>
      </c>
      <c r="D10" s="50" t="s">
        <v>287</v>
      </c>
      <c r="E10" s="51" t="n">
        <v>79000</v>
      </c>
      <c r="F10" s="52" t="n">
        <v>13</v>
      </c>
      <c r="G10" s="50" t="s">
        <v>288</v>
      </c>
      <c r="H10" s="50" t="s">
        <v>289</v>
      </c>
      <c r="I10" s="50" t="s">
        <v>200</v>
      </c>
      <c r="J10" s="50" t="s">
        <v>231</v>
      </c>
      <c r="K10" s="50" t="s">
        <v>290</v>
      </c>
      <c r="L10" s="50" t="s">
        <v>291</v>
      </c>
      <c r="M10" s="50" t="s">
        <v>292</v>
      </c>
      <c r="N10" s="50" t="s">
        <v>293</v>
      </c>
      <c r="O10" s="50" t="s">
        <v>294</v>
      </c>
    </row>
    <row r="11" customFormat="false" ht="34.5" hidden="false" customHeight="true" outlineLevel="0" collapsed="false">
      <c r="A11" s="53" t="s">
        <v>16</v>
      </c>
      <c r="B11" s="50" t="s">
        <v>48</v>
      </c>
      <c r="C11" s="50" t="s">
        <v>20</v>
      </c>
      <c r="D11" s="50" t="s">
        <v>295</v>
      </c>
      <c r="E11" s="51" t="n">
        <v>74523</v>
      </c>
      <c r="F11" s="52" t="n">
        <v>11</v>
      </c>
      <c r="G11" s="50" t="s">
        <v>296</v>
      </c>
      <c r="H11" s="50" t="s">
        <v>289</v>
      </c>
      <c r="I11" s="50" t="s">
        <v>200</v>
      </c>
      <c r="J11" s="50" t="s">
        <v>231</v>
      </c>
      <c r="K11" s="50" t="s">
        <v>297</v>
      </c>
      <c r="L11" s="50" t="s">
        <v>298</v>
      </c>
      <c r="M11" s="50" t="s">
        <v>299</v>
      </c>
      <c r="N11" s="50" t="s">
        <v>300</v>
      </c>
      <c r="O11" s="50" t="s">
        <v>301</v>
      </c>
    </row>
    <row r="12" customFormat="false" ht="45.75" hidden="false" customHeight="true" outlineLevel="0" collapsed="false">
      <c r="A12" s="53" t="s">
        <v>16</v>
      </c>
      <c r="B12" s="50" t="s">
        <v>35</v>
      </c>
      <c r="C12" s="50" t="s">
        <v>20</v>
      </c>
      <c r="D12" s="50" t="s">
        <v>302</v>
      </c>
      <c r="E12" s="51" t="n">
        <v>69000</v>
      </c>
      <c r="F12" s="52" t="n">
        <v>10</v>
      </c>
      <c r="G12" s="50" t="s">
        <v>303</v>
      </c>
      <c r="H12" s="50" t="s">
        <v>289</v>
      </c>
      <c r="I12" s="50" t="s">
        <v>200</v>
      </c>
      <c r="J12" s="50" t="s">
        <v>231</v>
      </c>
      <c r="K12" s="50" t="s">
        <v>304</v>
      </c>
      <c r="L12" s="50" t="s">
        <v>305</v>
      </c>
      <c r="M12" s="50" t="s">
        <v>306</v>
      </c>
      <c r="N12" s="50" t="s">
        <v>307</v>
      </c>
      <c r="O12" s="50" t="s">
        <v>308</v>
      </c>
    </row>
    <row r="13" customFormat="false" ht="45.75" hidden="false" customHeight="true" outlineLevel="0" collapsed="false">
      <c r="A13" s="53" t="s">
        <v>16</v>
      </c>
      <c r="B13" s="50" t="s">
        <v>25</v>
      </c>
      <c r="C13" s="50" t="s">
        <v>15</v>
      </c>
      <c r="D13" s="50" t="s">
        <v>309</v>
      </c>
      <c r="E13" s="51" t="n">
        <v>39756</v>
      </c>
      <c r="F13" s="52" t="n">
        <v>7.7</v>
      </c>
      <c r="G13" s="50" t="s">
        <v>310</v>
      </c>
      <c r="H13" s="50" t="s">
        <v>289</v>
      </c>
      <c r="I13" s="50" t="s">
        <v>194</v>
      </c>
      <c r="J13" s="50" t="s">
        <v>260</v>
      </c>
      <c r="K13" s="50" t="s">
        <v>311</v>
      </c>
      <c r="L13" s="50" t="s">
        <v>312</v>
      </c>
      <c r="M13" s="50" t="s">
        <v>313</v>
      </c>
      <c r="N13" s="50" t="s">
        <v>314</v>
      </c>
      <c r="O13" s="50" t="s">
        <v>315</v>
      </c>
    </row>
    <row r="14" customFormat="false" ht="45.75" hidden="false" customHeight="true" outlineLevel="0" collapsed="false">
      <c r="A14" s="53" t="s">
        <v>16</v>
      </c>
      <c r="B14" s="50" t="s">
        <v>50</v>
      </c>
      <c r="C14" s="50" t="s">
        <v>15</v>
      </c>
      <c r="D14" s="50" t="s">
        <v>316</v>
      </c>
      <c r="E14" s="50"/>
      <c r="F14" s="52" t="n">
        <v>7.47</v>
      </c>
      <c r="G14" s="50" t="s">
        <v>317</v>
      </c>
      <c r="H14" s="50" t="s">
        <v>318</v>
      </c>
      <c r="I14" s="50" t="s">
        <v>319</v>
      </c>
      <c r="J14" s="50" t="s">
        <v>260</v>
      </c>
      <c r="K14" s="50" t="s">
        <v>320</v>
      </c>
      <c r="L14" s="50" t="s">
        <v>321</v>
      </c>
      <c r="M14" s="50" t="s">
        <v>322</v>
      </c>
      <c r="N14" s="50" t="s">
        <v>323</v>
      </c>
      <c r="O14" s="50" t="s">
        <v>324</v>
      </c>
    </row>
    <row r="15" customFormat="false" ht="34.5" hidden="false" customHeight="true" outlineLevel="0" collapsed="false">
      <c r="A15" s="53" t="s">
        <v>16</v>
      </c>
      <c r="B15" s="50" t="s">
        <v>34</v>
      </c>
      <c r="C15" s="50" t="s">
        <v>20</v>
      </c>
      <c r="D15" s="50" t="s">
        <v>325</v>
      </c>
      <c r="E15" s="51" t="n">
        <v>52282</v>
      </c>
      <c r="F15" s="52" t="n">
        <v>5.38</v>
      </c>
      <c r="G15" s="50" t="s">
        <v>326</v>
      </c>
      <c r="H15" s="50" t="s">
        <v>289</v>
      </c>
      <c r="I15" s="50" t="s">
        <v>194</v>
      </c>
      <c r="J15" s="50" t="s">
        <v>260</v>
      </c>
      <c r="K15" s="50" t="s">
        <v>327</v>
      </c>
      <c r="L15" s="50" t="s">
        <v>328</v>
      </c>
      <c r="M15" s="50" t="s">
        <v>329</v>
      </c>
      <c r="N15" s="50" t="s">
        <v>330</v>
      </c>
      <c r="O15" s="50" t="s">
        <v>331</v>
      </c>
    </row>
    <row r="16" customFormat="false" ht="281.25" hidden="false" customHeight="true" outlineLevel="0" collapsed="false">
      <c r="A16" s="53" t="s">
        <v>16</v>
      </c>
      <c r="B16" s="50" t="s">
        <v>23</v>
      </c>
      <c r="C16" s="50" t="s">
        <v>20</v>
      </c>
      <c r="D16" s="50" t="s">
        <v>332</v>
      </c>
      <c r="E16" s="51" t="n">
        <v>35000</v>
      </c>
      <c r="F16" s="52" t="n">
        <v>4.5</v>
      </c>
      <c r="G16" s="50" t="s">
        <v>333</v>
      </c>
      <c r="H16" s="50" t="s">
        <v>230</v>
      </c>
      <c r="I16" s="50" t="s">
        <v>194</v>
      </c>
      <c r="J16" s="50" t="s">
        <v>334</v>
      </c>
      <c r="K16" s="50" t="s">
        <v>335</v>
      </c>
      <c r="L16" s="50" t="s">
        <v>336</v>
      </c>
      <c r="M16" s="50" t="s">
        <v>337</v>
      </c>
      <c r="N16" s="50" t="s">
        <v>338</v>
      </c>
      <c r="O16" s="50" t="s">
        <v>339</v>
      </c>
    </row>
    <row r="17" customFormat="false" ht="45.75" hidden="false" customHeight="true" outlineLevel="0" collapsed="false">
      <c r="A17" s="54" t="s">
        <v>38</v>
      </c>
      <c r="B17" s="50" t="s">
        <v>44</v>
      </c>
      <c r="C17" s="50" t="s">
        <v>15</v>
      </c>
      <c r="D17" s="50" t="s">
        <v>340</v>
      </c>
      <c r="E17" s="50"/>
      <c r="F17" s="52" t="n">
        <v>7.73</v>
      </c>
      <c r="G17" s="50" t="s">
        <v>341</v>
      </c>
      <c r="H17" s="50" t="s">
        <v>289</v>
      </c>
      <c r="I17" s="50" t="s">
        <v>319</v>
      </c>
      <c r="J17" s="50" t="s">
        <v>260</v>
      </c>
      <c r="K17" s="50" t="s">
        <v>342</v>
      </c>
      <c r="L17" s="50" t="s">
        <v>343</v>
      </c>
      <c r="M17" s="50" t="s">
        <v>344</v>
      </c>
      <c r="N17" s="50" t="s">
        <v>345</v>
      </c>
      <c r="O17" s="50" t="s">
        <v>346</v>
      </c>
    </row>
    <row r="18" customFormat="false" ht="68.25" hidden="false" customHeight="true" outlineLevel="0" collapsed="false">
      <c r="A18" s="54" t="s">
        <v>38</v>
      </c>
      <c r="B18" s="50" t="s">
        <v>41</v>
      </c>
      <c r="C18" s="50" t="s">
        <v>15</v>
      </c>
      <c r="D18" s="50" t="s">
        <v>347</v>
      </c>
      <c r="E18" s="50"/>
      <c r="F18" s="52" t="n">
        <v>6.7</v>
      </c>
      <c r="G18" s="50" t="s">
        <v>348</v>
      </c>
      <c r="H18" s="50" t="s">
        <v>289</v>
      </c>
      <c r="I18" s="50" t="s">
        <v>319</v>
      </c>
      <c r="J18" s="50" t="s">
        <v>260</v>
      </c>
      <c r="K18" s="50" t="s">
        <v>349</v>
      </c>
      <c r="L18" s="50" t="s">
        <v>350</v>
      </c>
      <c r="M18" s="50" t="s">
        <v>351</v>
      </c>
      <c r="N18" s="50" t="s">
        <v>352</v>
      </c>
      <c r="O18" s="50" t="s">
        <v>353</v>
      </c>
    </row>
    <row r="19" customFormat="false" ht="68.25" hidden="false" customHeight="true" outlineLevel="0" collapsed="false">
      <c r="A19" s="54" t="s">
        <v>38</v>
      </c>
      <c r="B19" s="50" t="s">
        <v>42</v>
      </c>
      <c r="C19" s="50" t="s">
        <v>20</v>
      </c>
      <c r="D19" s="50" t="s">
        <v>354</v>
      </c>
      <c r="E19" s="50"/>
      <c r="F19" s="52" t="n">
        <v>1.57</v>
      </c>
      <c r="G19" s="50" t="s">
        <v>355</v>
      </c>
      <c r="H19" s="50" t="s">
        <v>230</v>
      </c>
      <c r="I19" s="50" t="s">
        <v>319</v>
      </c>
      <c r="J19" s="50" t="s">
        <v>356</v>
      </c>
      <c r="K19" s="50" t="s">
        <v>357</v>
      </c>
      <c r="L19" s="50" t="s">
        <v>358</v>
      </c>
      <c r="M19" s="50" t="s">
        <v>359</v>
      </c>
      <c r="N19" s="50" t="s">
        <v>360</v>
      </c>
      <c r="O19" s="50" t="s">
        <v>361</v>
      </c>
    </row>
    <row r="20" customFormat="false" ht="45.75" hidden="false" customHeight="true" outlineLevel="0" collapsed="false">
      <c r="A20" s="54" t="s">
        <v>38</v>
      </c>
      <c r="B20" s="50" t="s">
        <v>22</v>
      </c>
      <c r="C20" s="50" t="s">
        <v>20</v>
      </c>
      <c r="D20" s="50" t="s">
        <v>362</v>
      </c>
      <c r="E20" s="51" t="n">
        <v>41622</v>
      </c>
      <c r="F20" s="52" t="n">
        <v>1.22</v>
      </c>
      <c r="G20" s="50" t="s">
        <v>363</v>
      </c>
      <c r="H20" s="50" t="s">
        <v>230</v>
      </c>
      <c r="I20" s="50" t="s">
        <v>194</v>
      </c>
      <c r="J20" s="50" t="s">
        <v>356</v>
      </c>
      <c r="K20" s="50" t="s">
        <v>364</v>
      </c>
      <c r="L20" s="50" t="s">
        <v>365</v>
      </c>
      <c r="M20" s="50" t="s">
        <v>366</v>
      </c>
      <c r="N20" s="50" t="s">
        <v>367</v>
      </c>
      <c r="O20" s="50" t="s">
        <v>368</v>
      </c>
    </row>
    <row r="21" customFormat="false" ht="34.5" hidden="false" customHeight="true" outlineLevel="0" collapsed="false">
      <c r="A21" s="54" t="s">
        <v>38</v>
      </c>
      <c r="B21" s="50" t="s">
        <v>54</v>
      </c>
      <c r="C21" s="50" t="s">
        <v>15</v>
      </c>
      <c r="D21" s="50" t="s">
        <v>369</v>
      </c>
      <c r="E21" s="50"/>
      <c r="F21" s="52" t="n">
        <v>0.84</v>
      </c>
      <c r="G21" s="50" t="s">
        <v>370</v>
      </c>
      <c r="H21" s="50" t="s">
        <v>230</v>
      </c>
      <c r="I21" s="50" t="s">
        <v>319</v>
      </c>
      <c r="J21" s="50" t="s">
        <v>356</v>
      </c>
      <c r="K21" s="50" t="s">
        <v>371</v>
      </c>
      <c r="L21" s="50" t="s">
        <v>372</v>
      </c>
      <c r="M21" s="50" t="s">
        <v>373</v>
      </c>
      <c r="N21" s="50" t="s">
        <v>374</v>
      </c>
      <c r="O21" s="50" t="s">
        <v>375</v>
      </c>
    </row>
    <row r="22" customFormat="false" ht="45.75" hidden="false" customHeight="true" outlineLevel="0" collapsed="false">
      <c r="A22" s="54" t="s">
        <v>38</v>
      </c>
      <c r="B22" s="50" t="s">
        <v>52</v>
      </c>
      <c r="C22" s="50" t="s">
        <v>15</v>
      </c>
      <c r="D22" s="50" t="s">
        <v>376</v>
      </c>
      <c r="E22" s="50"/>
      <c r="F22" s="50"/>
      <c r="G22" s="50" t="s">
        <v>377</v>
      </c>
      <c r="H22" s="50" t="s">
        <v>230</v>
      </c>
      <c r="I22" s="50" t="s">
        <v>319</v>
      </c>
      <c r="J22" s="50" t="s">
        <v>319</v>
      </c>
      <c r="K22" s="50" t="s">
        <v>378</v>
      </c>
      <c r="L22" s="50" t="s">
        <v>379</v>
      </c>
      <c r="M22" s="50" t="s">
        <v>380</v>
      </c>
      <c r="N22" s="50" t="s">
        <v>381</v>
      </c>
      <c r="O22" s="50" t="s">
        <v>382</v>
      </c>
    </row>
    <row r="23" customFormat="false" ht="34.5" hidden="false" customHeight="true" outlineLevel="0" collapsed="false">
      <c r="A23" s="54" t="s">
        <v>38</v>
      </c>
      <c r="B23" s="50" t="s">
        <v>37</v>
      </c>
      <c r="C23" s="50" t="s">
        <v>15</v>
      </c>
      <c r="D23" s="50" t="s">
        <v>383</v>
      </c>
      <c r="E23" s="50"/>
      <c r="F23" s="50"/>
      <c r="G23" s="50" t="s">
        <v>384</v>
      </c>
      <c r="H23" s="50" t="s">
        <v>230</v>
      </c>
      <c r="I23" s="50" t="s">
        <v>319</v>
      </c>
      <c r="J23" s="50" t="s">
        <v>319</v>
      </c>
      <c r="K23" s="50" t="s">
        <v>385</v>
      </c>
      <c r="L23" s="50" t="s">
        <v>386</v>
      </c>
      <c r="M23" s="50" t="s">
        <v>387</v>
      </c>
      <c r="N23" s="50" t="s">
        <v>388</v>
      </c>
      <c r="O23" s="50" t="s">
        <v>389</v>
      </c>
    </row>
    <row r="24" customFormat="false" ht="34.5" hidden="false" customHeight="true" outlineLevel="0" collapsed="false">
      <c r="A24" s="54" t="s">
        <v>38</v>
      </c>
      <c r="B24" s="50" t="s">
        <v>56</v>
      </c>
      <c r="C24" s="50" t="s">
        <v>15</v>
      </c>
      <c r="D24" s="50" t="s">
        <v>390</v>
      </c>
      <c r="E24" s="50"/>
      <c r="F24" s="50"/>
      <c r="G24" s="50" t="s">
        <v>391</v>
      </c>
      <c r="H24" s="50" t="s">
        <v>230</v>
      </c>
      <c r="I24" s="50" t="s">
        <v>319</v>
      </c>
      <c r="J24" s="50" t="s">
        <v>319</v>
      </c>
      <c r="K24" s="50" t="s">
        <v>392</v>
      </c>
      <c r="L24" s="50" t="s">
        <v>393</v>
      </c>
      <c r="M24" s="50" t="s">
        <v>394</v>
      </c>
      <c r="N24" s="50" t="s">
        <v>395</v>
      </c>
      <c r="O24" s="50" t="s">
        <v>396</v>
      </c>
    </row>
    <row r="25" customFormat="false" ht="113.25" hidden="false" customHeight="true" outlineLevel="0" collapsed="false">
      <c r="A25" s="54" t="s">
        <v>38</v>
      </c>
      <c r="B25" s="50" t="s">
        <v>18</v>
      </c>
      <c r="C25" s="50" t="s">
        <v>15</v>
      </c>
      <c r="D25" s="50" t="s">
        <v>397</v>
      </c>
      <c r="E25" s="51" t="n">
        <v>35500</v>
      </c>
      <c r="F25" s="50"/>
      <c r="G25" s="50" t="s">
        <v>398</v>
      </c>
      <c r="H25" s="50" t="s">
        <v>230</v>
      </c>
      <c r="I25" s="50" t="s">
        <v>194</v>
      </c>
      <c r="J25" s="50" t="s">
        <v>319</v>
      </c>
      <c r="K25" s="50" t="s">
        <v>399</v>
      </c>
      <c r="L25" s="50" t="s">
        <v>400</v>
      </c>
      <c r="M25" s="50" t="s">
        <v>401</v>
      </c>
      <c r="N25" s="50" t="s">
        <v>402</v>
      </c>
      <c r="O25" s="50" t="s">
        <v>403</v>
      </c>
    </row>
    <row r="26" customFormat="false" ht="34.5" hidden="false" customHeight="true" outlineLevel="0" collapsed="false">
      <c r="A26" s="54" t="s">
        <v>38</v>
      </c>
      <c r="B26" s="50" t="s">
        <v>53</v>
      </c>
      <c r="C26" s="50" t="s">
        <v>15</v>
      </c>
      <c r="D26" s="50" t="s">
        <v>404</v>
      </c>
      <c r="E26" s="50"/>
      <c r="F26" s="50"/>
      <c r="G26" s="50" t="s">
        <v>405</v>
      </c>
      <c r="H26" s="50" t="s">
        <v>230</v>
      </c>
      <c r="I26" s="50" t="s">
        <v>319</v>
      </c>
      <c r="J26" s="50" t="s">
        <v>319</v>
      </c>
      <c r="K26" s="50" t="s">
        <v>406</v>
      </c>
      <c r="L26" s="50" t="s">
        <v>407</v>
      </c>
      <c r="M26" s="50" t="s">
        <v>408</v>
      </c>
      <c r="N26" s="50" t="s">
        <v>409</v>
      </c>
      <c r="O26" s="50" t="s">
        <v>410</v>
      </c>
    </row>
    <row r="27" customFormat="false" ht="157.5" hidden="false" customHeight="true" outlineLevel="0" collapsed="false">
      <c r="A27" s="54" t="s">
        <v>38</v>
      </c>
      <c r="B27" s="50" t="s">
        <v>49</v>
      </c>
      <c r="C27" s="50" t="s">
        <v>15</v>
      </c>
      <c r="D27" s="50" t="s">
        <v>411</v>
      </c>
      <c r="E27" s="50"/>
      <c r="F27" s="50"/>
      <c r="G27" s="50" t="s">
        <v>412</v>
      </c>
      <c r="H27" s="50" t="s">
        <v>289</v>
      </c>
      <c r="I27" s="50" t="s">
        <v>319</v>
      </c>
      <c r="J27" s="50" t="s">
        <v>319</v>
      </c>
      <c r="K27" s="50" t="s">
        <v>413</v>
      </c>
      <c r="L27" s="50" t="s">
        <v>414</v>
      </c>
      <c r="M27" s="50" t="s">
        <v>415</v>
      </c>
      <c r="N27" s="50" t="s">
        <v>416</v>
      </c>
      <c r="O27" s="50" t="s">
        <v>272</v>
      </c>
    </row>
    <row r="28" customFormat="false" ht="90.75" hidden="false" customHeight="true" outlineLevel="0" collapsed="false">
      <c r="A28" s="54" t="s">
        <v>38</v>
      </c>
      <c r="B28" s="50" t="s">
        <v>27</v>
      </c>
      <c r="C28" s="50" t="s">
        <v>15</v>
      </c>
      <c r="D28" s="50" t="s">
        <v>417</v>
      </c>
      <c r="E28" s="50"/>
      <c r="F28" s="50"/>
      <c r="G28" s="50" t="s">
        <v>418</v>
      </c>
      <c r="H28" s="50" t="s">
        <v>230</v>
      </c>
      <c r="I28" s="50" t="s">
        <v>319</v>
      </c>
      <c r="J28" s="50" t="s">
        <v>319</v>
      </c>
      <c r="K28" s="50" t="s">
        <v>419</v>
      </c>
      <c r="L28" s="50" t="s">
        <v>420</v>
      </c>
      <c r="M28" s="50" t="s">
        <v>421</v>
      </c>
      <c r="N28" s="50" t="s">
        <v>422</v>
      </c>
      <c r="O28" s="50" t="s">
        <v>423</v>
      </c>
    </row>
    <row r="29" customFormat="false" ht="34.5" hidden="false" customHeight="true" outlineLevel="0" collapsed="false">
      <c r="A29" s="54" t="s">
        <v>38</v>
      </c>
      <c r="B29" s="50" t="s">
        <v>51</v>
      </c>
      <c r="C29" s="50" t="s">
        <v>15</v>
      </c>
      <c r="D29" s="50" t="s">
        <v>424</v>
      </c>
      <c r="E29" s="50"/>
      <c r="F29" s="50"/>
      <c r="G29" s="50" t="s">
        <v>425</v>
      </c>
      <c r="H29" s="50" t="s">
        <v>230</v>
      </c>
      <c r="I29" s="50" t="s">
        <v>319</v>
      </c>
      <c r="J29" s="50" t="s">
        <v>319</v>
      </c>
      <c r="K29" s="50" t="s">
        <v>426</v>
      </c>
      <c r="L29" s="50" t="s">
        <v>427</v>
      </c>
      <c r="M29" s="50" t="s">
        <v>428</v>
      </c>
      <c r="N29" s="50" t="s">
        <v>330</v>
      </c>
      <c r="O29" s="50" t="s">
        <v>429</v>
      </c>
    </row>
    <row r="30" customFormat="false" ht="34.5" hidden="false" customHeight="true" outlineLevel="0" collapsed="false">
      <c r="A30" s="54" t="s">
        <v>38</v>
      </c>
      <c r="B30" s="50" t="s">
        <v>14</v>
      </c>
      <c r="C30" s="50" t="s">
        <v>15</v>
      </c>
      <c r="D30" s="50" t="s">
        <v>430</v>
      </c>
      <c r="E30" s="51" t="n">
        <v>81919</v>
      </c>
      <c r="F30" s="50"/>
      <c r="G30" s="50" t="s">
        <v>319</v>
      </c>
      <c r="H30" s="50" t="s">
        <v>289</v>
      </c>
      <c r="I30" s="50" t="s">
        <v>200</v>
      </c>
      <c r="J30" s="50" t="s">
        <v>319</v>
      </c>
      <c r="K30" s="50" t="s">
        <v>431</v>
      </c>
      <c r="L30" s="50" t="s">
        <v>432</v>
      </c>
      <c r="M30" s="50" t="s">
        <v>433</v>
      </c>
      <c r="N30" s="50" t="s">
        <v>434</v>
      </c>
      <c r="O30" s="50" t="s">
        <v>435</v>
      </c>
    </row>
    <row r="31" customFormat="false" ht="168.75" hidden="false" customHeight="true" outlineLevel="0" collapsed="false">
      <c r="A31" s="54" t="s">
        <v>38</v>
      </c>
      <c r="B31" s="50" t="s">
        <v>40</v>
      </c>
      <c r="C31" s="50" t="s">
        <v>15</v>
      </c>
      <c r="D31" s="50" t="s">
        <v>436</v>
      </c>
      <c r="E31" s="50"/>
      <c r="F31" s="50"/>
      <c r="G31" s="50" t="s">
        <v>437</v>
      </c>
      <c r="H31" s="50" t="s">
        <v>289</v>
      </c>
      <c r="I31" s="50" t="s">
        <v>319</v>
      </c>
      <c r="J31" s="50" t="s">
        <v>319</v>
      </c>
      <c r="K31" s="50" t="s">
        <v>438</v>
      </c>
      <c r="L31" s="50" t="s">
        <v>439</v>
      </c>
      <c r="M31" s="50" t="s">
        <v>440</v>
      </c>
      <c r="N31" s="50" t="s">
        <v>441</v>
      </c>
      <c r="O31" s="50" t="s">
        <v>442</v>
      </c>
    </row>
    <row r="32" customFormat="false" ht="34.5" hidden="false" customHeight="true" outlineLevel="0" collapsed="false">
      <c r="A32" s="54" t="s">
        <v>38</v>
      </c>
      <c r="B32" s="50" t="s">
        <v>55</v>
      </c>
      <c r="C32" s="50" t="s">
        <v>15</v>
      </c>
      <c r="D32" s="50" t="s">
        <v>443</v>
      </c>
      <c r="E32" s="50"/>
      <c r="F32" s="50"/>
      <c r="G32" s="50" t="s">
        <v>444</v>
      </c>
      <c r="H32" s="50" t="s">
        <v>230</v>
      </c>
      <c r="I32" s="50" t="s">
        <v>319</v>
      </c>
      <c r="J32" s="50" t="s">
        <v>319</v>
      </c>
      <c r="K32" s="50" t="s">
        <v>445</v>
      </c>
      <c r="L32" s="50" t="s">
        <v>446</v>
      </c>
      <c r="M32" s="50" t="s">
        <v>447</v>
      </c>
      <c r="N32" s="50" t="s">
        <v>448</v>
      </c>
      <c r="O32" s="50" t="s">
        <v>449</v>
      </c>
    </row>
    <row r="33" customFormat="false" ht="68.25" hidden="false" customHeight="true" outlineLevel="0" collapsed="false">
      <c r="A33" s="54" t="s">
        <v>38</v>
      </c>
      <c r="B33" s="50" t="s">
        <v>45</v>
      </c>
      <c r="C33" s="50" t="s">
        <v>20</v>
      </c>
      <c r="D33" s="50" t="s">
        <v>450</v>
      </c>
      <c r="E33" s="50"/>
      <c r="F33" s="50"/>
      <c r="G33" s="50" t="s">
        <v>451</v>
      </c>
      <c r="H33" s="50" t="s">
        <v>318</v>
      </c>
      <c r="I33" s="50" t="s">
        <v>319</v>
      </c>
      <c r="J33" s="50" t="s">
        <v>319</v>
      </c>
      <c r="K33" s="50" t="s">
        <v>452</v>
      </c>
      <c r="L33" s="50" t="s">
        <v>453</v>
      </c>
      <c r="M33" s="50" t="s">
        <v>454</v>
      </c>
      <c r="N33" s="50" t="s">
        <v>455</v>
      </c>
      <c r="O33" s="50" t="s">
        <v>456</v>
      </c>
    </row>
    <row r="34" customFormat="false" ht="34.5" hidden="false" customHeight="true" outlineLevel="0" collapsed="false">
      <c r="A34" s="55" t="s">
        <v>33</v>
      </c>
      <c r="B34" s="50" t="s">
        <v>39</v>
      </c>
      <c r="C34" s="50" t="s">
        <v>20</v>
      </c>
      <c r="D34" s="50" t="s">
        <v>457</v>
      </c>
      <c r="E34" s="51" t="n">
        <v>133303</v>
      </c>
      <c r="F34" s="52" t="n">
        <v>20</v>
      </c>
      <c r="G34" s="50" t="s">
        <v>458</v>
      </c>
      <c r="H34" s="50" t="s">
        <v>230</v>
      </c>
      <c r="I34" s="50" t="s">
        <v>200</v>
      </c>
      <c r="J34" s="50" t="s">
        <v>231</v>
      </c>
      <c r="K34" s="50" t="s">
        <v>459</v>
      </c>
      <c r="L34" s="50" t="s">
        <v>460</v>
      </c>
      <c r="M34" s="50" t="s">
        <v>461</v>
      </c>
      <c r="N34" s="50" t="s">
        <v>462</v>
      </c>
      <c r="O34" s="50" t="s">
        <v>463</v>
      </c>
    </row>
    <row r="35" customFormat="false" ht="90.75" hidden="false" customHeight="true" outlineLevel="0" collapsed="false">
      <c r="A35" s="55" t="s">
        <v>33</v>
      </c>
      <c r="B35" s="50" t="s">
        <v>32</v>
      </c>
      <c r="C35" s="50" t="s">
        <v>20</v>
      </c>
      <c r="D35" s="50" t="s">
        <v>464</v>
      </c>
      <c r="E35" s="51" t="n">
        <v>44444</v>
      </c>
      <c r="F35" s="52" t="n">
        <v>7.95</v>
      </c>
      <c r="G35" s="50" t="s">
        <v>465</v>
      </c>
      <c r="H35" s="50" t="s">
        <v>289</v>
      </c>
      <c r="I35" s="50" t="s">
        <v>194</v>
      </c>
      <c r="J35" s="50" t="s">
        <v>260</v>
      </c>
      <c r="K35" s="50" t="s">
        <v>466</v>
      </c>
      <c r="L35" s="50" t="s">
        <v>467</v>
      </c>
      <c r="M35" s="50" t="s">
        <v>468</v>
      </c>
      <c r="N35" s="50" t="s">
        <v>469</v>
      </c>
      <c r="O35" s="50" t="s">
        <v>470</v>
      </c>
    </row>
    <row r="36" customFormat="false" ht="34.5" hidden="false" customHeight="true" outlineLevel="0" collapsed="false">
      <c r="A36" s="55" t="s">
        <v>33</v>
      </c>
      <c r="B36" s="50" t="s">
        <v>43</v>
      </c>
      <c r="C36" s="50" t="s">
        <v>15</v>
      </c>
      <c r="D36" s="50" t="s">
        <v>471</v>
      </c>
      <c r="E36" s="51" t="n">
        <v>86000</v>
      </c>
      <c r="F36" s="52" t="n">
        <v>7.8</v>
      </c>
      <c r="G36" s="50" t="s">
        <v>472</v>
      </c>
      <c r="H36" s="50" t="s">
        <v>289</v>
      </c>
      <c r="I36" s="50" t="s">
        <v>200</v>
      </c>
      <c r="J36" s="50" t="s">
        <v>260</v>
      </c>
      <c r="K36" s="50" t="s">
        <v>473</v>
      </c>
      <c r="L36" s="50" t="s">
        <v>474</v>
      </c>
      <c r="M36" s="50" t="s">
        <v>475</v>
      </c>
      <c r="N36" s="50" t="s">
        <v>476</v>
      </c>
      <c r="O36" s="50" t="s">
        <v>477</v>
      </c>
    </row>
    <row r="37" customFormat="false" ht="34.5" hidden="false" customHeight="true" outlineLevel="0" collapsed="false">
      <c r="A37" s="55" t="s">
        <v>33</v>
      </c>
      <c r="B37" s="50" t="s">
        <v>46</v>
      </c>
      <c r="C37" s="50" t="s">
        <v>15</v>
      </c>
      <c r="D37" s="50" t="s">
        <v>478</v>
      </c>
      <c r="E37" s="50"/>
      <c r="F37" s="52" t="n">
        <v>5</v>
      </c>
      <c r="G37" s="50" t="s">
        <v>479</v>
      </c>
      <c r="H37" s="50" t="s">
        <v>318</v>
      </c>
      <c r="I37" s="50" t="s">
        <v>319</v>
      </c>
      <c r="J37" s="50" t="s">
        <v>260</v>
      </c>
      <c r="K37" s="50" t="s">
        <v>480</v>
      </c>
      <c r="L37" s="50" t="s">
        <v>481</v>
      </c>
      <c r="M37" s="50" t="s">
        <v>482</v>
      </c>
      <c r="N37" s="50" t="s">
        <v>483</v>
      </c>
      <c r="O37" s="50" t="s">
        <v>484</v>
      </c>
    </row>
    <row r="38" customFormat="false" ht="34.5" hidden="false" customHeight="true" outlineLevel="0" collapsed="false">
      <c r="A38" s="55" t="s">
        <v>33</v>
      </c>
      <c r="B38" s="50" t="s">
        <v>36</v>
      </c>
      <c r="C38" s="50" t="s">
        <v>20</v>
      </c>
      <c r="D38" s="50" t="s">
        <v>485</v>
      </c>
      <c r="E38" s="50"/>
      <c r="F38" s="50"/>
      <c r="G38" s="50" t="s">
        <v>370</v>
      </c>
      <c r="H38" s="50" t="s">
        <v>230</v>
      </c>
      <c r="I38" s="50" t="s">
        <v>319</v>
      </c>
      <c r="J38" s="50" t="s">
        <v>319</v>
      </c>
      <c r="K38" s="50" t="s">
        <v>486</v>
      </c>
      <c r="L38" s="50" t="s">
        <v>487</v>
      </c>
      <c r="M38" s="50" t="s">
        <v>488</v>
      </c>
      <c r="N38" s="50" t="s">
        <v>489</v>
      </c>
      <c r="O38" s="50" t="s">
        <v>490</v>
      </c>
    </row>
    <row r="39" customFormat="false" ht="34.5" hidden="false" customHeight="true" outlineLevel="0" collapsed="false">
      <c r="A39" s="56" t="s">
        <v>133</v>
      </c>
      <c r="B39" s="50" t="s">
        <v>491</v>
      </c>
      <c r="C39" s="50" t="s">
        <v>20</v>
      </c>
      <c r="D39" s="50" t="s">
        <v>492</v>
      </c>
      <c r="E39" s="51" t="n">
        <v>160000</v>
      </c>
      <c r="F39" s="52" t="n">
        <v>24</v>
      </c>
      <c r="G39" s="50" t="s">
        <v>493</v>
      </c>
      <c r="H39" s="50" t="s">
        <v>230</v>
      </c>
      <c r="I39" s="50" t="s">
        <v>200</v>
      </c>
      <c r="J39" s="50" t="s">
        <v>231</v>
      </c>
      <c r="K39" s="50" t="s">
        <v>494</v>
      </c>
      <c r="L39" s="50" t="s">
        <v>495</v>
      </c>
      <c r="M39" s="50" t="s">
        <v>496</v>
      </c>
      <c r="N39" s="50" t="s">
        <v>497</v>
      </c>
      <c r="O39" s="50" t="s">
        <v>498</v>
      </c>
    </row>
    <row r="40" customFormat="false" ht="135.75" hidden="false" customHeight="true" outlineLevel="0" collapsed="false">
      <c r="A40" s="56" t="s">
        <v>133</v>
      </c>
      <c r="B40" s="50" t="s">
        <v>499</v>
      </c>
      <c r="C40" s="50" t="s">
        <v>20</v>
      </c>
      <c r="D40" s="50" t="s">
        <v>500</v>
      </c>
      <c r="E40" s="51" t="n">
        <v>69544</v>
      </c>
      <c r="F40" s="52" t="n">
        <v>9</v>
      </c>
      <c r="G40" s="50" t="s">
        <v>501</v>
      </c>
      <c r="H40" s="50" t="s">
        <v>230</v>
      </c>
      <c r="I40" s="50" t="s">
        <v>200</v>
      </c>
      <c r="J40" s="50" t="s">
        <v>260</v>
      </c>
      <c r="K40" s="50" t="s">
        <v>502</v>
      </c>
      <c r="L40" s="50" t="s">
        <v>503</v>
      </c>
      <c r="M40" s="50" t="s">
        <v>504</v>
      </c>
      <c r="N40" s="50" t="s">
        <v>505</v>
      </c>
      <c r="O40" s="50" t="s">
        <v>506</v>
      </c>
    </row>
    <row r="41" customFormat="false" ht="34.5" hidden="false" customHeight="true" outlineLevel="0" collapsed="false">
      <c r="A41" s="56" t="s">
        <v>133</v>
      </c>
      <c r="B41" s="50" t="s">
        <v>507</v>
      </c>
      <c r="C41" s="50" t="s">
        <v>20</v>
      </c>
      <c r="D41" s="50" t="s">
        <v>508</v>
      </c>
      <c r="E41" s="51" t="n">
        <v>58700</v>
      </c>
      <c r="F41" s="52" t="n">
        <v>7.5</v>
      </c>
      <c r="G41" s="50" t="s">
        <v>509</v>
      </c>
      <c r="H41" s="50" t="s">
        <v>230</v>
      </c>
      <c r="I41" s="50" t="s">
        <v>194</v>
      </c>
      <c r="J41" s="50" t="s">
        <v>260</v>
      </c>
      <c r="K41" s="50" t="s">
        <v>510</v>
      </c>
      <c r="L41" s="50" t="s">
        <v>511</v>
      </c>
      <c r="M41" s="50" t="s">
        <v>512</v>
      </c>
      <c r="N41" s="50" t="s">
        <v>513</v>
      </c>
      <c r="O41" s="50" t="s">
        <v>514</v>
      </c>
    </row>
    <row r="42" customFormat="false" ht="202.5" hidden="false" customHeight="true" outlineLevel="0" collapsed="false">
      <c r="A42" s="56" t="s">
        <v>133</v>
      </c>
      <c r="B42" s="50" t="s">
        <v>515</v>
      </c>
      <c r="C42" s="50" t="s">
        <v>20</v>
      </c>
      <c r="D42" s="50" t="s">
        <v>516</v>
      </c>
      <c r="E42" s="51" t="n">
        <v>37500</v>
      </c>
      <c r="F42" s="52" t="n">
        <v>6</v>
      </c>
      <c r="G42" s="50" t="s">
        <v>517</v>
      </c>
      <c r="H42" s="50" t="s">
        <v>230</v>
      </c>
      <c r="I42" s="50" t="s">
        <v>194</v>
      </c>
      <c r="J42" s="50" t="s">
        <v>260</v>
      </c>
      <c r="K42" s="50" t="s">
        <v>518</v>
      </c>
      <c r="L42" s="50" t="s">
        <v>519</v>
      </c>
      <c r="M42" s="50" t="s">
        <v>520</v>
      </c>
      <c r="N42" s="50" t="s">
        <v>521</v>
      </c>
      <c r="O42" s="50" t="s">
        <v>522</v>
      </c>
    </row>
    <row r="43" customFormat="false" ht="34.5" hidden="false" customHeight="true" outlineLevel="0" collapsed="false">
      <c r="A43" s="56" t="s">
        <v>133</v>
      </c>
      <c r="B43" s="50" t="s">
        <v>523</v>
      </c>
      <c r="C43" s="50" t="s">
        <v>20</v>
      </c>
      <c r="D43" s="50" t="s">
        <v>524</v>
      </c>
      <c r="E43" s="51" t="n">
        <v>61905</v>
      </c>
      <c r="F43" s="52" t="n">
        <v>5.79</v>
      </c>
      <c r="G43" s="50" t="s">
        <v>525</v>
      </c>
      <c r="H43" s="50" t="s">
        <v>289</v>
      </c>
      <c r="I43" s="50" t="s">
        <v>200</v>
      </c>
      <c r="J43" s="50" t="s">
        <v>260</v>
      </c>
      <c r="K43" s="50" t="s">
        <v>526</v>
      </c>
      <c r="L43" s="50" t="s">
        <v>527</v>
      </c>
      <c r="M43" s="50" t="s">
        <v>528</v>
      </c>
      <c r="N43" s="50" t="s">
        <v>353</v>
      </c>
      <c r="O43" s="50" t="s">
        <v>490</v>
      </c>
    </row>
    <row r="44" customFormat="false" ht="102" hidden="false" customHeight="true" outlineLevel="0" collapsed="false">
      <c r="A44" s="56" t="s">
        <v>133</v>
      </c>
      <c r="B44" s="50" t="s">
        <v>529</v>
      </c>
      <c r="C44" s="50" t="s">
        <v>20</v>
      </c>
      <c r="D44" s="50" t="s">
        <v>530</v>
      </c>
      <c r="E44" s="51" t="n">
        <v>35704</v>
      </c>
      <c r="F44" s="52" t="n">
        <v>2.17</v>
      </c>
      <c r="G44" s="50" t="s">
        <v>531</v>
      </c>
      <c r="H44" s="50" t="s">
        <v>230</v>
      </c>
      <c r="I44" s="50" t="s">
        <v>194</v>
      </c>
      <c r="J44" s="50" t="s">
        <v>334</v>
      </c>
      <c r="K44" s="50" t="s">
        <v>532</v>
      </c>
      <c r="L44" s="50" t="s">
        <v>533</v>
      </c>
      <c r="M44" s="50" t="s">
        <v>534</v>
      </c>
      <c r="N44" s="50" t="s">
        <v>535</v>
      </c>
      <c r="O44" s="50" t="s">
        <v>536</v>
      </c>
    </row>
    <row r="45" customFormat="false" ht="34.5" hidden="false" customHeight="true" outlineLevel="0" collapsed="false">
      <c r="A45" s="56" t="s">
        <v>133</v>
      </c>
      <c r="B45" s="50" t="s">
        <v>537</v>
      </c>
      <c r="C45" s="50" t="s">
        <v>20</v>
      </c>
      <c r="D45" s="50" t="s">
        <v>538</v>
      </c>
      <c r="E45" s="51" t="n">
        <v>1423</v>
      </c>
      <c r="F45" s="52" t="n">
        <v>0.09</v>
      </c>
      <c r="G45" s="50" t="s">
        <v>539</v>
      </c>
      <c r="H45" s="50" t="s">
        <v>289</v>
      </c>
      <c r="I45" s="50" t="s">
        <v>188</v>
      </c>
      <c r="J45" s="50" t="s">
        <v>356</v>
      </c>
      <c r="K45" s="50" t="s">
        <v>540</v>
      </c>
      <c r="L45" s="50" t="s">
        <v>541</v>
      </c>
      <c r="M45" s="50" t="s">
        <v>542</v>
      </c>
      <c r="N45" s="50" t="s">
        <v>353</v>
      </c>
      <c r="O45" s="50" t="s">
        <v>543</v>
      </c>
    </row>
    <row r="46" customFormat="false" ht="34.5" hidden="false" customHeight="true" outlineLevel="0" collapsed="false">
      <c r="A46" s="56" t="s">
        <v>133</v>
      </c>
      <c r="B46" s="50" t="s">
        <v>544</v>
      </c>
      <c r="C46" s="50" t="s">
        <v>15</v>
      </c>
      <c r="D46" s="50" t="s">
        <v>545</v>
      </c>
      <c r="E46" s="51" t="n">
        <v>2028</v>
      </c>
      <c r="F46" s="52" t="n">
        <v>0.06</v>
      </c>
      <c r="G46" s="50" t="s">
        <v>319</v>
      </c>
      <c r="H46" s="50" t="s">
        <v>289</v>
      </c>
      <c r="I46" s="50" t="s">
        <v>188</v>
      </c>
      <c r="J46" s="50" t="s">
        <v>356</v>
      </c>
      <c r="K46" s="50" t="s">
        <v>546</v>
      </c>
      <c r="L46" s="50" t="s">
        <v>547</v>
      </c>
      <c r="M46" s="50" t="s">
        <v>548</v>
      </c>
      <c r="N46" s="50" t="s">
        <v>549</v>
      </c>
      <c r="O46" s="50" t="s">
        <v>353</v>
      </c>
    </row>
  </sheetData>
  <autoFilter ref="A1:O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0" width="18"/>
    <col collapsed="false" customWidth="true" hidden="false" outlineLevel="0" max="2" min="2" style="30" width="28"/>
    <col collapsed="false" customWidth="true" hidden="false" outlineLevel="0" max="3" min="3" style="30" width="8"/>
    <col collapsed="false" customWidth="true" hidden="false" outlineLevel="0" max="4" min="4" style="30" width="14"/>
    <col collapsed="false" customWidth="true" hidden="false" outlineLevel="0" max="6" min="5" style="30" width="10"/>
    <col collapsed="false" customWidth="true" hidden="false" outlineLevel="0" max="8" min="7" style="30" width="50"/>
    <col collapsed="false" customWidth="true" hidden="false" outlineLevel="0" max="9" min="9" style="30" width="35"/>
  </cols>
  <sheetData>
    <row r="1" customFormat="false" ht="23.25" hidden="false" customHeight="true" outlineLevel="0" collapsed="false">
      <c r="A1" s="57" t="s">
        <v>216</v>
      </c>
      <c r="B1" s="57" t="s">
        <v>2</v>
      </c>
      <c r="C1" s="57" t="s">
        <v>3</v>
      </c>
      <c r="D1" s="57" t="s">
        <v>218</v>
      </c>
      <c r="E1" s="57" t="s">
        <v>219</v>
      </c>
      <c r="F1" s="57" t="s">
        <v>221</v>
      </c>
      <c r="G1" s="57" t="s">
        <v>550</v>
      </c>
      <c r="H1" s="57" t="s">
        <v>551</v>
      </c>
      <c r="I1" s="57" t="s">
        <v>552</v>
      </c>
    </row>
    <row r="2" customFormat="false" ht="57" hidden="false" customHeight="true" outlineLevel="0" collapsed="false">
      <c r="A2" s="49" t="s">
        <v>21</v>
      </c>
      <c r="B2" s="50" t="s">
        <v>47</v>
      </c>
      <c r="C2" s="50" t="s">
        <v>20</v>
      </c>
      <c r="D2" s="51" t="n">
        <v>133942</v>
      </c>
      <c r="E2" s="52" t="n">
        <v>23</v>
      </c>
      <c r="F2" s="50" t="s">
        <v>230</v>
      </c>
      <c r="G2" s="50" t="s">
        <v>553</v>
      </c>
      <c r="H2" s="50" t="s">
        <v>554</v>
      </c>
      <c r="I2" s="50" t="s">
        <v>555</v>
      </c>
    </row>
    <row r="3" customFormat="false" ht="57" hidden="false" customHeight="true" outlineLevel="0" collapsed="false">
      <c r="A3" s="49" t="s">
        <v>21</v>
      </c>
      <c r="B3" s="50" t="s">
        <v>24</v>
      </c>
      <c r="C3" s="50" t="s">
        <v>15</v>
      </c>
      <c r="D3" s="51" t="n">
        <v>42708</v>
      </c>
      <c r="E3" s="52" t="n">
        <v>16.4</v>
      </c>
      <c r="F3" s="50" t="s">
        <v>230</v>
      </c>
      <c r="G3" s="50" t="s">
        <v>553</v>
      </c>
      <c r="H3" s="50" t="s">
        <v>554</v>
      </c>
      <c r="I3" s="50" t="s">
        <v>555</v>
      </c>
    </row>
    <row r="4" customFormat="false" ht="57" hidden="false" customHeight="true" outlineLevel="0" collapsed="false">
      <c r="A4" s="49" t="s">
        <v>21</v>
      </c>
      <c r="B4" s="50" t="s">
        <v>30</v>
      </c>
      <c r="C4" s="50" t="s">
        <v>20</v>
      </c>
      <c r="D4" s="51" t="n">
        <v>80000</v>
      </c>
      <c r="E4" s="52" t="n">
        <v>11.71</v>
      </c>
      <c r="F4" s="50" t="s">
        <v>230</v>
      </c>
      <c r="G4" s="50" t="s">
        <v>553</v>
      </c>
      <c r="H4" s="50" t="s">
        <v>554</v>
      </c>
      <c r="I4" s="50" t="s">
        <v>555</v>
      </c>
    </row>
    <row r="5" customFormat="false" ht="57" hidden="false" customHeight="true" outlineLevel="0" collapsed="false">
      <c r="A5" s="49" t="s">
        <v>21</v>
      </c>
      <c r="B5" s="50" t="s">
        <v>31</v>
      </c>
      <c r="C5" s="50" t="s">
        <v>20</v>
      </c>
      <c r="D5" s="51" t="n">
        <v>66467</v>
      </c>
      <c r="E5" s="52" t="n">
        <v>10</v>
      </c>
      <c r="F5" s="50" t="s">
        <v>230</v>
      </c>
      <c r="G5" s="50" t="s">
        <v>553</v>
      </c>
      <c r="H5" s="50" t="s">
        <v>554</v>
      </c>
      <c r="I5" s="50" t="s">
        <v>555</v>
      </c>
    </row>
    <row r="6" customFormat="false" ht="45.75" hidden="false" customHeight="true" outlineLevel="0" collapsed="false">
      <c r="A6" s="49" t="s">
        <v>21</v>
      </c>
      <c r="B6" s="50" t="s">
        <v>29</v>
      </c>
      <c r="C6" s="50" t="s">
        <v>20</v>
      </c>
      <c r="D6" s="51" t="n">
        <v>47100</v>
      </c>
      <c r="E6" s="52" t="n">
        <v>9</v>
      </c>
      <c r="F6" s="50" t="s">
        <v>230</v>
      </c>
      <c r="G6" s="50" t="s">
        <v>553</v>
      </c>
      <c r="H6" s="50" t="s">
        <v>556</v>
      </c>
      <c r="I6" s="50" t="s">
        <v>555</v>
      </c>
    </row>
    <row r="7" customFormat="false" ht="45.75" hidden="false" customHeight="true" outlineLevel="0" collapsed="false">
      <c r="A7" s="49" t="s">
        <v>21</v>
      </c>
      <c r="B7" s="50" t="s">
        <v>26</v>
      </c>
      <c r="C7" s="50" t="s">
        <v>20</v>
      </c>
      <c r="D7" s="51" t="n">
        <v>55301</v>
      </c>
      <c r="E7" s="52" t="n">
        <v>9</v>
      </c>
      <c r="F7" s="50" t="s">
        <v>230</v>
      </c>
      <c r="G7" s="50" t="s">
        <v>553</v>
      </c>
      <c r="H7" s="50" t="s">
        <v>556</v>
      </c>
      <c r="I7" s="50" t="s">
        <v>555</v>
      </c>
    </row>
    <row r="8" customFormat="false" ht="45.75" hidden="false" customHeight="true" outlineLevel="0" collapsed="false">
      <c r="A8" s="49" t="s">
        <v>21</v>
      </c>
      <c r="B8" s="50" t="s">
        <v>19</v>
      </c>
      <c r="C8" s="50" t="s">
        <v>20</v>
      </c>
      <c r="D8" s="51" t="n">
        <v>54971</v>
      </c>
      <c r="E8" s="52" t="n">
        <v>6.02</v>
      </c>
      <c r="F8" s="50" t="s">
        <v>230</v>
      </c>
      <c r="G8" s="50" t="s">
        <v>553</v>
      </c>
      <c r="H8" s="50" t="s">
        <v>556</v>
      </c>
      <c r="I8" s="50" t="s">
        <v>555</v>
      </c>
    </row>
    <row r="9" customFormat="false" ht="45.75" hidden="false" customHeight="true" outlineLevel="0" collapsed="false">
      <c r="A9" s="49" t="s">
        <v>21</v>
      </c>
      <c r="B9" s="50" t="s">
        <v>28</v>
      </c>
      <c r="C9" s="50" t="s">
        <v>15</v>
      </c>
      <c r="D9" s="51" t="n">
        <v>66000</v>
      </c>
      <c r="E9" s="52" t="n">
        <v>5.26</v>
      </c>
      <c r="F9" s="50" t="s">
        <v>230</v>
      </c>
      <c r="G9" s="50" t="s">
        <v>553</v>
      </c>
      <c r="H9" s="50" t="s">
        <v>556</v>
      </c>
      <c r="I9" s="50" t="s">
        <v>555</v>
      </c>
    </row>
    <row r="10" customFormat="false" ht="57" hidden="false" customHeight="true" outlineLevel="0" collapsed="false">
      <c r="A10" s="53" t="s">
        <v>16</v>
      </c>
      <c r="B10" s="50" t="s">
        <v>57</v>
      </c>
      <c r="C10" s="50" t="s">
        <v>20</v>
      </c>
      <c r="D10" s="51" t="n">
        <v>79000</v>
      </c>
      <c r="E10" s="52" t="n">
        <v>13</v>
      </c>
      <c r="F10" s="50" t="s">
        <v>289</v>
      </c>
      <c r="G10" s="50" t="s">
        <v>553</v>
      </c>
      <c r="H10" s="50" t="s">
        <v>554</v>
      </c>
      <c r="I10" s="50" t="s">
        <v>555</v>
      </c>
    </row>
    <row r="11" customFormat="false" ht="57" hidden="false" customHeight="true" outlineLevel="0" collapsed="false">
      <c r="A11" s="53" t="s">
        <v>16</v>
      </c>
      <c r="B11" s="50" t="s">
        <v>48</v>
      </c>
      <c r="C11" s="50" t="s">
        <v>20</v>
      </c>
      <c r="D11" s="51" t="n">
        <v>74523</v>
      </c>
      <c r="E11" s="52" t="n">
        <v>11</v>
      </c>
      <c r="F11" s="50" t="s">
        <v>289</v>
      </c>
      <c r="G11" s="50" t="s">
        <v>553</v>
      </c>
      <c r="H11" s="50" t="s">
        <v>554</v>
      </c>
      <c r="I11" s="50" t="s">
        <v>555</v>
      </c>
    </row>
    <row r="12" customFormat="false" ht="57" hidden="false" customHeight="true" outlineLevel="0" collapsed="false">
      <c r="A12" s="53" t="s">
        <v>16</v>
      </c>
      <c r="B12" s="50" t="s">
        <v>35</v>
      </c>
      <c r="C12" s="50" t="s">
        <v>20</v>
      </c>
      <c r="D12" s="51" t="n">
        <v>69000</v>
      </c>
      <c r="E12" s="52" t="n">
        <v>10</v>
      </c>
      <c r="F12" s="50" t="s">
        <v>289</v>
      </c>
      <c r="G12" s="50" t="s">
        <v>553</v>
      </c>
      <c r="H12" s="50" t="s">
        <v>554</v>
      </c>
      <c r="I12" s="50" t="s">
        <v>555</v>
      </c>
    </row>
    <row r="13" customFormat="false" ht="45.75" hidden="false" customHeight="true" outlineLevel="0" collapsed="false">
      <c r="A13" s="53" t="s">
        <v>16</v>
      </c>
      <c r="B13" s="50" t="s">
        <v>25</v>
      </c>
      <c r="C13" s="50" t="s">
        <v>15</v>
      </c>
      <c r="D13" s="51" t="n">
        <v>39756</v>
      </c>
      <c r="E13" s="52" t="n">
        <v>7.7</v>
      </c>
      <c r="F13" s="50" t="s">
        <v>289</v>
      </c>
      <c r="G13" s="50" t="s">
        <v>557</v>
      </c>
      <c r="H13" s="50" t="s">
        <v>556</v>
      </c>
      <c r="I13" s="50" t="s">
        <v>558</v>
      </c>
    </row>
    <row r="14" customFormat="false" ht="45.75" hidden="false" customHeight="true" outlineLevel="0" collapsed="false">
      <c r="A14" s="53" t="s">
        <v>16</v>
      </c>
      <c r="B14" s="50" t="s">
        <v>50</v>
      </c>
      <c r="C14" s="50" t="s">
        <v>15</v>
      </c>
      <c r="D14" s="50"/>
      <c r="E14" s="52" t="n">
        <v>7.47</v>
      </c>
      <c r="F14" s="50" t="s">
        <v>318</v>
      </c>
      <c r="G14" s="50" t="s">
        <v>557</v>
      </c>
      <c r="H14" s="50" t="s">
        <v>556</v>
      </c>
      <c r="I14" s="50" t="s">
        <v>558</v>
      </c>
    </row>
    <row r="15" customFormat="false" ht="45.75" hidden="false" customHeight="true" outlineLevel="0" collapsed="false">
      <c r="A15" s="53" t="s">
        <v>16</v>
      </c>
      <c r="B15" s="50" t="s">
        <v>34</v>
      </c>
      <c r="C15" s="50" t="s">
        <v>20</v>
      </c>
      <c r="D15" s="51" t="n">
        <v>52282</v>
      </c>
      <c r="E15" s="52" t="n">
        <v>5.38</v>
      </c>
      <c r="F15" s="50" t="s">
        <v>289</v>
      </c>
      <c r="G15" s="50" t="s">
        <v>553</v>
      </c>
      <c r="H15" s="50" t="s">
        <v>556</v>
      </c>
      <c r="I15" s="50" t="s">
        <v>555</v>
      </c>
    </row>
    <row r="16" customFormat="false" ht="45.75" hidden="false" customHeight="true" outlineLevel="0" collapsed="false">
      <c r="A16" s="53" t="s">
        <v>16</v>
      </c>
      <c r="B16" s="50" t="s">
        <v>23</v>
      </c>
      <c r="C16" s="50" t="s">
        <v>20</v>
      </c>
      <c r="D16" s="51" t="n">
        <v>35000</v>
      </c>
      <c r="E16" s="52" t="n">
        <v>4.5</v>
      </c>
      <c r="F16" s="50" t="s">
        <v>230</v>
      </c>
      <c r="G16" s="50" t="s">
        <v>553</v>
      </c>
      <c r="H16" s="50" t="s">
        <v>559</v>
      </c>
      <c r="I16" s="50" t="s">
        <v>555</v>
      </c>
    </row>
    <row r="17" customFormat="false" ht="45.75" hidden="false" customHeight="true" outlineLevel="0" collapsed="false">
      <c r="A17" s="54" t="s">
        <v>38</v>
      </c>
      <c r="B17" s="50" t="s">
        <v>44</v>
      </c>
      <c r="C17" s="50" t="s">
        <v>15</v>
      </c>
      <c r="D17" s="50"/>
      <c r="E17" s="52" t="n">
        <v>7.73</v>
      </c>
      <c r="F17" s="50" t="s">
        <v>289</v>
      </c>
      <c r="G17" s="50"/>
      <c r="H17" s="50" t="s">
        <v>556</v>
      </c>
      <c r="I17" s="50" t="s">
        <v>560</v>
      </c>
    </row>
    <row r="18" customFormat="false" ht="45.75" hidden="false" customHeight="true" outlineLevel="0" collapsed="false">
      <c r="A18" s="54" t="s">
        <v>38</v>
      </c>
      <c r="B18" s="50" t="s">
        <v>41</v>
      </c>
      <c r="C18" s="50" t="s">
        <v>15</v>
      </c>
      <c r="D18" s="50"/>
      <c r="E18" s="52" t="n">
        <v>6.7</v>
      </c>
      <c r="F18" s="50" t="s">
        <v>289</v>
      </c>
      <c r="G18" s="50"/>
      <c r="H18" s="50" t="s">
        <v>556</v>
      </c>
      <c r="I18" s="50" t="s">
        <v>560</v>
      </c>
    </row>
    <row r="19" customFormat="false" ht="45.75" hidden="false" customHeight="true" outlineLevel="0" collapsed="false">
      <c r="A19" s="54" t="s">
        <v>38</v>
      </c>
      <c r="B19" s="50" t="s">
        <v>42</v>
      </c>
      <c r="C19" s="50" t="s">
        <v>20</v>
      </c>
      <c r="D19" s="50"/>
      <c r="E19" s="52" t="n">
        <v>1.57</v>
      </c>
      <c r="F19" s="50" t="s">
        <v>230</v>
      </c>
      <c r="G19" s="50" t="s">
        <v>553</v>
      </c>
      <c r="H19" s="50" t="s">
        <v>561</v>
      </c>
      <c r="I19" s="50" t="s">
        <v>562</v>
      </c>
    </row>
    <row r="20" customFormat="false" ht="45.75" hidden="false" customHeight="true" outlineLevel="0" collapsed="false">
      <c r="A20" s="54" t="s">
        <v>38</v>
      </c>
      <c r="B20" s="50" t="s">
        <v>22</v>
      </c>
      <c r="C20" s="50" t="s">
        <v>20</v>
      </c>
      <c r="D20" s="51" t="n">
        <v>41622</v>
      </c>
      <c r="E20" s="52" t="n">
        <v>1.22</v>
      </c>
      <c r="F20" s="50" t="s">
        <v>230</v>
      </c>
      <c r="G20" s="50" t="s">
        <v>553</v>
      </c>
      <c r="H20" s="50" t="s">
        <v>561</v>
      </c>
      <c r="I20" s="50" t="s">
        <v>562</v>
      </c>
    </row>
    <row r="21" customFormat="false" ht="34.5" hidden="false" customHeight="true" outlineLevel="0" collapsed="false">
      <c r="A21" s="54" t="s">
        <v>38</v>
      </c>
      <c r="B21" s="50" t="s">
        <v>54</v>
      </c>
      <c r="C21" s="50" t="s">
        <v>15</v>
      </c>
      <c r="D21" s="50"/>
      <c r="E21" s="52" t="n">
        <v>0.84</v>
      </c>
      <c r="F21" s="50" t="s">
        <v>230</v>
      </c>
      <c r="G21" s="50" t="s">
        <v>553</v>
      </c>
      <c r="H21" s="50"/>
      <c r="I21" s="50" t="s">
        <v>563</v>
      </c>
    </row>
    <row r="22" customFormat="false" ht="34.5" hidden="false" customHeight="true" outlineLevel="0" collapsed="false">
      <c r="A22" s="54" t="s">
        <v>38</v>
      </c>
      <c r="B22" s="50" t="s">
        <v>52</v>
      </c>
      <c r="C22" s="50" t="s">
        <v>15</v>
      </c>
      <c r="D22" s="50"/>
      <c r="E22" s="50"/>
      <c r="F22" s="50" t="s">
        <v>230</v>
      </c>
      <c r="G22" s="50" t="s">
        <v>553</v>
      </c>
      <c r="H22" s="50"/>
      <c r="I22" s="50" t="s">
        <v>563</v>
      </c>
    </row>
    <row r="23" customFormat="false" ht="34.5" hidden="false" customHeight="true" outlineLevel="0" collapsed="false">
      <c r="A23" s="54" t="s">
        <v>38</v>
      </c>
      <c r="B23" s="50" t="s">
        <v>37</v>
      </c>
      <c r="C23" s="50" t="s">
        <v>15</v>
      </c>
      <c r="D23" s="50"/>
      <c r="E23" s="50"/>
      <c r="F23" s="50" t="s">
        <v>230</v>
      </c>
      <c r="G23" s="50" t="s">
        <v>553</v>
      </c>
      <c r="H23" s="50"/>
      <c r="I23" s="50" t="s">
        <v>563</v>
      </c>
    </row>
    <row r="24" customFormat="false" ht="34.5" hidden="false" customHeight="true" outlineLevel="0" collapsed="false">
      <c r="A24" s="54" t="s">
        <v>38</v>
      </c>
      <c r="B24" s="50" t="s">
        <v>56</v>
      </c>
      <c r="C24" s="50" t="s">
        <v>15</v>
      </c>
      <c r="D24" s="50"/>
      <c r="E24" s="50"/>
      <c r="F24" s="50" t="s">
        <v>230</v>
      </c>
      <c r="G24" s="50" t="s">
        <v>553</v>
      </c>
      <c r="H24" s="50"/>
      <c r="I24" s="50" t="s">
        <v>563</v>
      </c>
    </row>
    <row r="25" customFormat="false" ht="34.5" hidden="false" customHeight="true" outlineLevel="0" collapsed="false">
      <c r="A25" s="54" t="s">
        <v>38</v>
      </c>
      <c r="B25" s="50" t="s">
        <v>18</v>
      </c>
      <c r="C25" s="50" t="s">
        <v>15</v>
      </c>
      <c r="D25" s="51" t="n">
        <v>35500</v>
      </c>
      <c r="E25" s="50"/>
      <c r="F25" s="50" t="s">
        <v>230</v>
      </c>
      <c r="G25" s="50" t="s">
        <v>553</v>
      </c>
      <c r="H25" s="50"/>
      <c r="I25" s="50" t="s">
        <v>563</v>
      </c>
    </row>
    <row r="26" customFormat="false" ht="34.5" hidden="false" customHeight="true" outlineLevel="0" collapsed="false">
      <c r="A26" s="54" t="s">
        <v>38</v>
      </c>
      <c r="B26" s="50" t="s">
        <v>53</v>
      </c>
      <c r="C26" s="50" t="s">
        <v>15</v>
      </c>
      <c r="D26" s="50"/>
      <c r="E26" s="50"/>
      <c r="F26" s="50" t="s">
        <v>230</v>
      </c>
      <c r="G26" s="50" t="s">
        <v>553</v>
      </c>
      <c r="H26" s="50"/>
      <c r="I26" s="50" t="s">
        <v>563</v>
      </c>
    </row>
    <row r="27" customFormat="false" ht="15" hidden="false" customHeight="true" outlineLevel="0" collapsed="false">
      <c r="A27" s="54" t="s">
        <v>38</v>
      </c>
      <c r="B27" s="50" t="s">
        <v>49</v>
      </c>
      <c r="C27" s="50" t="s">
        <v>15</v>
      </c>
      <c r="D27" s="50"/>
      <c r="E27" s="50"/>
      <c r="F27" s="50" t="s">
        <v>289</v>
      </c>
      <c r="G27" s="50"/>
      <c r="H27" s="50"/>
      <c r="I27" s="50" t="s">
        <v>564</v>
      </c>
    </row>
    <row r="28" customFormat="false" ht="34.5" hidden="false" customHeight="true" outlineLevel="0" collapsed="false">
      <c r="A28" s="54" t="s">
        <v>38</v>
      </c>
      <c r="B28" s="50" t="s">
        <v>27</v>
      </c>
      <c r="C28" s="50" t="s">
        <v>15</v>
      </c>
      <c r="D28" s="50"/>
      <c r="E28" s="50"/>
      <c r="F28" s="50" t="s">
        <v>230</v>
      </c>
      <c r="G28" s="50" t="s">
        <v>553</v>
      </c>
      <c r="H28" s="50"/>
      <c r="I28" s="50" t="s">
        <v>563</v>
      </c>
    </row>
    <row r="29" customFormat="false" ht="34.5" hidden="false" customHeight="true" outlineLevel="0" collapsed="false">
      <c r="A29" s="54" t="s">
        <v>38</v>
      </c>
      <c r="B29" s="50" t="s">
        <v>51</v>
      </c>
      <c r="C29" s="50" t="s">
        <v>15</v>
      </c>
      <c r="D29" s="50"/>
      <c r="E29" s="50"/>
      <c r="F29" s="50" t="s">
        <v>230</v>
      </c>
      <c r="G29" s="50" t="s">
        <v>553</v>
      </c>
      <c r="H29" s="50"/>
      <c r="I29" s="50" t="s">
        <v>563</v>
      </c>
    </row>
    <row r="30" customFormat="false" ht="34.5" hidden="false" customHeight="true" outlineLevel="0" collapsed="false">
      <c r="A30" s="54" t="s">
        <v>38</v>
      </c>
      <c r="B30" s="50" t="s">
        <v>14</v>
      </c>
      <c r="C30" s="50" t="s">
        <v>15</v>
      </c>
      <c r="D30" s="51" t="n">
        <v>81919</v>
      </c>
      <c r="E30" s="50"/>
      <c r="F30" s="50" t="s">
        <v>289</v>
      </c>
      <c r="G30" s="50" t="s">
        <v>553</v>
      </c>
      <c r="H30" s="50"/>
      <c r="I30" s="50" t="s">
        <v>563</v>
      </c>
    </row>
    <row r="31" customFormat="false" ht="15" hidden="false" customHeight="true" outlineLevel="0" collapsed="false">
      <c r="A31" s="54" t="s">
        <v>38</v>
      </c>
      <c r="B31" s="50" t="s">
        <v>40</v>
      </c>
      <c r="C31" s="50" t="s">
        <v>15</v>
      </c>
      <c r="D31" s="50"/>
      <c r="E31" s="50"/>
      <c r="F31" s="50" t="s">
        <v>289</v>
      </c>
      <c r="G31" s="50"/>
      <c r="H31" s="50"/>
      <c r="I31" s="50" t="s">
        <v>564</v>
      </c>
    </row>
    <row r="32" customFormat="false" ht="34.5" hidden="false" customHeight="true" outlineLevel="0" collapsed="false">
      <c r="A32" s="54" t="s">
        <v>38</v>
      </c>
      <c r="B32" s="50" t="s">
        <v>55</v>
      </c>
      <c r="C32" s="50" t="s">
        <v>15</v>
      </c>
      <c r="D32" s="50"/>
      <c r="E32" s="50"/>
      <c r="F32" s="50" t="s">
        <v>230</v>
      </c>
      <c r="G32" s="50" t="s">
        <v>553</v>
      </c>
      <c r="H32" s="50"/>
      <c r="I32" s="50" t="s">
        <v>563</v>
      </c>
    </row>
    <row r="33" customFormat="false" ht="34.5" hidden="false" customHeight="true" outlineLevel="0" collapsed="false">
      <c r="A33" s="54" t="s">
        <v>38</v>
      </c>
      <c r="B33" s="50" t="s">
        <v>45</v>
      </c>
      <c r="C33" s="50" t="s">
        <v>20</v>
      </c>
      <c r="D33" s="50"/>
      <c r="E33" s="50"/>
      <c r="F33" s="50" t="s">
        <v>318</v>
      </c>
      <c r="G33" s="50" t="s">
        <v>557</v>
      </c>
      <c r="H33" s="50" t="s">
        <v>565</v>
      </c>
      <c r="I33" s="50" t="s">
        <v>566</v>
      </c>
    </row>
    <row r="34" customFormat="false" ht="57" hidden="false" customHeight="true" outlineLevel="0" collapsed="false">
      <c r="A34" s="55" t="s">
        <v>33</v>
      </c>
      <c r="B34" s="50" t="s">
        <v>39</v>
      </c>
      <c r="C34" s="50" t="s">
        <v>20</v>
      </c>
      <c r="D34" s="51" t="n">
        <v>133303</v>
      </c>
      <c r="E34" s="52" t="n">
        <v>20</v>
      </c>
      <c r="F34" s="50" t="s">
        <v>230</v>
      </c>
      <c r="G34" s="50" t="s">
        <v>553</v>
      </c>
      <c r="H34" s="50" t="s">
        <v>554</v>
      </c>
      <c r="I34" s="50" t="s">
        <v>555</v>
      </c>
    </row>
    <row r="35" customFormat="false" ht="45.75" hidden="false" customHeight="true" outlineLevel="0" collapsed="false">
      <c r="A35" s="55" t="s">
        <v>33</v>
      </c>
      <c r="B35" s="50" t="s">
        <v>32</v>
      </c>
      <c r="C35" s="50" t="s">
        <v>20</v>
      </c>
      <c r="D35" s="51" t="n">
        <v>44444</v>
      </c>
      <c r="E35" s="52" t="n">
        <v>7.95</v>
      </c>
      <c r="F35" s="50" t="s">
        <v>289</v>
      </c>
      <c r="G35" s="50" t="s">
        <v>553</v>
      </c>
      <c r="H35" s="50" t="s">
        <v>556</v>
      </c>
      <c r="I35" s="50" t="s">
        <v>555</v>
      </c>
    </row>
    <row r="36" customFormat="false" ht="45.75" hidden="false" customHeight="true" outlineLevel="0" collapsed="false">
      <c r="A36" s="55" t="s">
        <v>33</v>
      </c>
      <c r="B36" s="50" t="s">
        <v>43</v>
      </c>
      <c r="C36" s="50" t="s">
        <v>15</v>
      </c>
      <c r="D36" s="51" t="n">
        <v>86000</v>
      </c>
      <c r="E36" s="52" t="n">
        <v>7.8</v>
      </c>
      <c r="F36" s="50" t="s">
        <v>289</v>
      </c>
      <c r="G36" s="50" t="s">
        <v>553</v>
      </c>
      <c r="H36" s="50" t="s">
        <v>556</v>
      </c>
      <c r="I36" s="50" t="s">
        <v>555</v>
      </c>
    </row>
    <row r="37" customFormat="false" ht="45.75" hidden="false" customHeight="true" outlineLevel="0" collapsed="false">
      <c r="A37" s="55" t="s">
        <v>33</v>
      </c>
      <c r="B37" s="50" t="s">
        <v>46</v>
      </c>
      <c r="C37" s="50" t="s">
        <v>15</v>
      </c>
      <c r="D37" s="50"/>
      <c r="E37" s="52" t="n">
        <v>5</v>
      </c>
      <c r="F37" s="50" t="s">
        <v>318</v>
      </c>
      <c r="G37" s="50" t="s">
        <v>557</v>
      </c>
      <c r="H37" s="50" t="s">
        <v>556</v>
      </c>
      <c r="I37" s="50" t="s">
        <v>558</v>
      </c>
    </row>
    <row r="38" customFormat="false" ht="34.5" hidden="false" customHeight="true" outlineLevel="0" collapsed="false">
      <c r="A38" s="55" t="s">
        <v>33</v>
      </c>
      <c r="B38" s="50" t="s">
        <v>36</v>
      </c>
      <c r="C38" s="50" t="s">
        <v>20</v>
      </c>
      <c r="D38" s="50"/>
      <c r="E38" s="50"/>
      <c r="F38" s="50" t="s">
        <v>230</v>
      </c>
      <c r="G38" s="50" t="s">
        <v>553</v>
      </c>
      <c r="H38" s="50"/>
      <c r="I38" s="50" t="s">
        <v>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0" width="18"/>
    <col collapsed="false" customWidth="true" hidden="false" outlineLevel="0" max="2" min="2" style="30" width="28"/>
    <col collapsed="false" customWidth="true" hidden="false" outlineLevel="0" max="3" min="3" style="30" width="8"/>
    <col collapsed="false" customWidth="true" hidden="false" outlineLevel="0" max="4" min="4" style="30" width="14"/>
    <col collapsed="false" customWidth="true" hidden="false" outlineLevel="0" max="5" min="5" style="30" width="10"/>
    <col collapsed="false" customWidth="true" hidden="false" outlineLevel="0" max="7" min="6" style="30" width="16"/>
    <col collapsed="false" customWidth="true" hidden="false" outlineLevel="0" max="8" min="8" style="30" width="100"/>
  </cols>
  <sheetData>
    <row r="1" customFormat="false" ht="23.25" hidden="false" customHeight="true" outlineLevel="0" collapsed="false">
      <c r="A1" s="58" t="s">
        <v>216</v>
      </c>
      <c r="B1" s="58" t="s">
        <v>2</v>
      </c>
      <c r="C1" s="58" t="s">
        <v>3</v>
      </c>
      <c r="D1" s="58" t="s">
        <v>218</v>
      </c>
      <c r="E1" s="58" t="s">
        <v>219</v>
      </c>
      <c r="F1" s="58" t="s">
        <v>567</v>
      </c>
      <c r="G1" s="58" t="s">
        <v>568</v>
      </c>
      <c r="H1" s="58" t="s">
        <v>569</v>
      </c>
    </row>
    <row r="2" customFormat="false" ht="54.75" hidden="false" customHeight="true" outlineLevel="0" collapsed="false">
      <c r="A2" s="49" t="s">
        <v>21</v>
      </c>
      <c r="B2" s="50" t="s">
        <v>47</v>
      </c>
      <c r="C2" s="50" t="s">
        <v>20</v>
      </c>
      <c r="D2" s="51" t="n">
        <v>133942</v>
      </c>
      <c r="E2" s="52" t="n">
        <v>23</v>
      </c>
      <c r="F2" s="59" t="n">
        <v>6480000</v>
      </c>
      <c r="G2" s="59" t="n">
        <v>23020000</v>
      </c>
      <c r="H2" s="50" t="s">
        <v>570</v>
      </c>
    </row>
    <row r="3" customFormat="false" ht="54.75" hidden="false" customHeight="true" outlineLevel="0" collapsed="false">
      <c r="A3" s="49" t="s">
        <v>21</v>
      </c>
      <c r="B3" s="50" t="s">
        <v>24</v>
      </c>
      <c r="C3" s="50" t="s">
        <v>15</v>
      </c>
      <c r="D3" s="51" t="n">
        <v>42708</v>
      </c>
      <c r="E3" s="52" t="n">
        <v>16.4</v>
      </c>
      <c r="F3" s="59" t="n">
        <v>5280000</v>
      </c>
      <c r="G3" s="59" t="n">
        <v>18240000</v>
      </c>
      <c r="H3" s="50" t="s">
        <v>570</v>
      </c>
    </row>
    <row r="4" customFormat="false" ht="54.75" hidden="false" customHeight="true" outlineLevel="0" collapsed="false">
      <c r="A4" s="49" t="s">
        <v>21</v>
      </c>
      <c r="B4" s="50" t="s">
        <v>30</v>
      </c>
      <c r="C4" s="50" t="s">
        <v>20</v>
      </c>
      <c r="D4" s="51" t="n">
        <v>80000</v>
      </c>
      <c r="E4" s="52" t="n">
        <v>11.71</v>
      </c>
      <c r="F4" s="59" t="n">
        <v>10680000</v>
      </c>
      <c r="G4" s="59" t="n">
        <v>37320000</v>
      </c>
      <c r="H4" s="50" t="s">
        <v>570</v>
      </c>
    </row>
    <row r="5" customFormat="false" ht="54.75" hidden="false" customHeight="true" outlineLevel="0" collapsed="false">
      <c r="A5" s="49" t="s">
        <v>21</v>
      </c>
      <c r="B5" s="50" t="s">
        <v>31</v>
      </c>
      <c r="C5" s="50" t="s">
        <v>20</v>
      </c>
      <c r="D5" s="51" t="n">
        <v>66467</v>
      </c>
      <c r="E5" s="52" t="n">
        <v>10</v>
      </c>
      <c r="F5" s="59" t="n">
        <v>6480000</v>
      </c>
      <c r="G5" s="59" t="n">
        <v>23020000</v>
      </c>
      <c r="H5" s="50" t="s">
        <v>570</v>
      </c>
    </row>
    <row r="6" customFormat="false" ht="54.75" hidden="false" customHeight="true" outlineLevel="0" collapsed="false">
      <c r="A6" s="49" t="s">
        <v>21</v>
      </c>
      <c r="B6" s="50" t="s">
        <v>29</v>
      </c>
      <c r="C6" s="50" t="s">
        <v>20</v>
      </c>
      <c r="D6" s="51" t="n">
        <v>47100</v>
      </c>
      <c r="E6" s="52" t="n">
        <v>9</v>
      </c>
      <c r="F6" s="59" t="n">
        <v>4200000</v>
      </c>
      <c r="G6" s="59" t="n">
        <v>14200000</v>
      </c>
      <c r="H6" s="50" t="s">
        <v>570</v>
      </c>
    </row>
    <row r="7" customFormat="false" ht="54.75" hidden="false" customHeight="true" outlineLevel="0" collapsed="false">
      <c r="A7" s="49" t="s">
        <v>21</v>
      </c>
      <c r="B7" s="50" t="s">
        <v>26</v>
      </c>
      <c r="C7" s="50" t="s">
        <v>20</v>
      </c>
      <c r="D7" s="51" t="n">
        <v>55301</v>
      </c>
      <c r="E7" s="52" t="n">
        <v>9</v>
      </c>
      <c r="F7" s="59" t="n">
        <v>3030000</v>
      </c>
      <c r="G7" s="59" t="n">
        <v>10390000</v>
      </c>
      <c r="H7" s="50" t="s">
        <v>570</v>
      </c>
    </row>
    <row r="8" customFormat="false" ht="54.75" hidden="false" customHeight="true" outlineLevel="0" collapsed="false">
      <c r="A8" s="49" t="s">
        <v>21</v>
      </c>
      <c r="B8" s="50" t="s">
        <v>19</v>
      </c>
      <c r="C8" s="50" t="s">
        <v>20</v>
      </c>
      <c r="D8" s="51" t="n">
        <v>54971</v>
      </c>
      <c r="E8" s="52" t="n">
        <v>6.02</v>
      </c>
      <c r="F8" s="59" t="n">
        <v>3030000</v>
      </c>
      <c r="G8" s="59" t="n">
        <v>10390000</v>
      </c>
      <c r="H8" s="50" t="s">
        <v>570</v>
      </c>
    </row>
    <row r="9" customFormat="false" ht="54.75" hidden="false" customHeight="true" outlineLevel="0" collapsed="false">
      <c r="A9" s="49" t="s">
        <v>21</v>
      </c>
      <c r="B9" s="50" t="s">
        <v>28</v>
      </c>
      <c r="C9" s="50" t="s">
        <v>15</v>
      </c>
      <c r="D9" s="51" t="n">
        <v>66000</v>
      </c>
      <c r="E9" s="52" t="n">
        <v>5.26</v>
      </c>
      <c r="F9" s="59" t="n">
        <v>6180000</v>
      </c>
      <c r="G9" s="59" t="n">
        <v>21520000</v>
      </c>
      <c r="H9" s="50" t="s">
        <v>570</v>
      </c>
    </row>
    <row r="10" customFormat="false" ht="54.75" hidden="false" customHeight="true" outlineLevel="0" collapsed="false">
      <c r="A10" s="53" t="s">
        <v>16</v>
      </c>
      <c r="B10" s="50" t="s">
        <v>57</v>
      </c>
      <c r="C10" s="50" t="s">
        <v>20</v>
      </c>
      <c r="D10" s="51" t="n">
        <v>79000</v>
      </c>
      <c r="E10" s="52" t="n">
        <v>13</v>
      </c>
      <c r="F10" s="59" t="n">
        <v>10680000</v>
      </c>
      <c r="G10" s="59" t="n">
        <v>37320000</v>
      </c>
      <c r="H10" s="50" t="s">
        <v>571</v>
      </c>
    </row>
    <row r="11" customFormat="false" ht="54.75" hidden="false" customHeight="true" outlineLevel="0" collapsed="false">
      <c r="A11" s="53" t="s">
        <v>16</v>
      </c>
      <c r="B11" s="50" t="s">
        <v>48</v>
      </c>
      <c r="C11" s="50" t="s">
        <v>20</v>
      </c>
      <c r="D11" s="51" t="n">
        <v>74523</v>
      </c>
      <c r="E11" s="52" t="n">
        <v>11</v>
      </c>
      <c r="F11" s="59" t="n">
        <v>10680000</v>
      </c>
      <c r="G11" s="59" t="n">
        <v>37320000</v>
      </c>
      <c r="H11" s="50" t="s">
        <v>572</v>
      </c>
    </row>
    <row r="12" customFormat="false" ht="54.75" hidden="false" customHeight="true" outlineLevel="0" collapsed="false">
      <c r="A12" s="53" t="s">
        <v>16</v>
      </c>
      <c r="B12" s="50" t="s">
        <v>35</v>
      </c>
      <c r="C12" s="50" t="s">
        <v>20</v>
      </c>
      <c r="D12" s="51" t="n">
        <v>69000</v>
      </c>
      <c r="E12" s="52" t="n">
        <v>10</v>
      </c>
      <c r="F12" s="59" t="n">
        <v>10680000</v>
      </c>
      <c r="G12" s="59" t="n">
        <v>37320000</v>
      </c>
      <c r="H12" s="50" t="s">
        <v>572</v>
      </c>
    </row>
    <row r="13" customFormat="false" ht="54.75" hidden="false" customHeight="true" outlineLevel="0" collapsed="false">
      <c r="A13" s="53" t="s">
        <v>16</v>
      </c>
      <c r="B13" s="50" t="s">
        <v>25</v>
      </c>
      <c r="C13" s="50" t="s">
        <v>15</v>
      </c>
      <c r="D13" s="51" t="n">
        <v>39756</v>
      </c>
      <c r="E13" s="52" t="n">
        <v>7.7</v>
      </c>
      <c r="F13" s="59" t="n">
        <v>4200000</v>
      </c>
      <c r="G13" s="59" t="n">
        <v>14200000</v>
      </c>
      <c r="H13" s="50" t="s">
        <v>572</v>
      </c>
    </row>
    <row r="14" customFormat="false" ht="54.75" hidden="false" customHeight="true" outlineLevel="0" collapsed="false">
      <c r="A14" s="53" t="s">
        <v>16</v>
      </c>
      <c r="B14" s="50" t="s">
        <v>50</v>
      </c>
      <c r="C14" s="50" t="s">
        <v>15</v>
      </c>
      <c r="D14" s="50"/>
      <c r="E14" s="52" t="n">
        <v>7.47</v>
      </c>
      <c r="F14" s="50"/>
      <c r="G14" s="50"/>
      <c r="H14" s="50" t="s">
        <v>570</v>
      </c>
    </row>
    <row r="15" customFormat="false" ht="54.75" hidden="false" customHeight="true" outlineLevel="0" collapsed="false">
      <c r="A15" s="53" t="s">
        <v>16</v>
      </c>
      <c r="B15" s="50" t="s">
        <v>34</v>
      </c>
      <c r="C15" s="50" t="s">
        <v>20</v>
      </c>
      <c r="D15" s="51" t="n">
        <v>52282</v>
      </c>
      <c r="E15" s="52" t="n">
        <v>5.38</v>
      </c>
      <c r="F15" s="59" t="n">
        <v>4200000</v>
      </c>
      <c r="G15" s="59" t="n">
        <v>14200000</v>
      </c>
      <c r="H15" s="50" t="s">
        <v>572</v>
      </c>
    </row>
    <row r="16" customFormat="false" ht="54.75" hidden="false" customHeight="true" outlineLevel="0" collapsed="false">
      <c r="A16" s="53" t="s">
        <v>16</v>
      </c>
      <c r="B16" s="50" t="s">
        <v>23</v>
      </c>
      <c r="C16" s="50" t="s">
        <v>20</v>
      </c>
      <c r="D16" s="51" t="n">
        <v>35000</v>
      </c>
      <c r="E16" s="52" t="n">
        <v>4.5</v>
      </c>
      <c r="F16" s="59" t="n">
        <v>4780000</v>
      </c>
      <c r="G16" s="59" t="n">
        <v>15740000</v>
      </c>
      <c r="H16" s="50" t="s">
        <v>570</v>
      </c>
    </row>
    <row r="17" customFormat="false" ht="54.75" hidden="false" customHeight="true" outlineLevel="0" collapsed="false">
      <c r="A17" s="54" t="s">
        <v>38</v>
      </c>
      <c r="B17" s="50" t="s">
        <v>44</v>
      </c>
      <c r="C17" s="50" t="s">
        <v>15</v>
      </c>
      <c r="D17" s="50"/>
      <c r="E17" s="52" t="n">
        <v>7.73</v>
      </c>
      <c r="F17" s="50"/>
      <c r="G17" s="50"/>
      <c r="H17" s="50" t="s">
        <v>571</v>
      </c>
    </row>
    <row r="18" customFormat="false" ht="54.75" hidden="false" customHeight="true" outlineLevel="0" collapsed="false">
      <c r="A18" s="54" t="s">
        <v>38</v>
      </c>
      <c r="B18" s="50" t="s">
        <v>41</v>
      </c>
      <c r="C18" s="50" t="s">
        <v>15</v>
      </c>
      <c r="D18" s="50"/>
      <c r="E18" s="52" t="n">
        <v>6.7</v>
      </c>
      <c r="F18" s="50"/>
      <c r="G18" s="50"/>
      <c r="H18" s="50" t="s">
        <v>571</v>
      </c>
    </row>
    <row r="19" customFormat="false" ht="54.75" hidden="false" customHeight="true" outlineLevel="0" collapsed="false">
      <c r="A19" s="54" t="s">
        <v>38</v>
      </c>
      <c r="B19" s="50" t="s">
        <v>42</v>
      </c>
      <c r="C19" s="50" t="s">
        <v>20</v>
      </c>
      <c r="D19" s="50"/>
      <c r="E19" s="52" t="n">
        <v>1.57</v>
      </c>
      <c r="F19" s="50"/>
      <c r="G19" s="50"/>
      <c r="H19" s="50" t="s">
        <v>573</v>
      </c>
    </row>
    <row r="20" customFormat="false" ht="54.75" hidden="false" customHeight="true" outlineLevel="0" collapsed="false">
      <c r="A20" s="54" t="s">
        <v>38</v>
      </c>
      <c r="B20" s="50" t="s">
        <v>22</v>
      </c>
      <c r="C20" s="50" t="s">
        <v>20</v>
      </c>
      <c r="D20" s="51" t="n">
        <v>41622</v>
      </c>
      <c r="E20" s="52" t="n">
        <v>1.22</v>
      </c>
      <c r="F20" s="59" t="n">
        <v>3900000</v>
      </c>
      <c r="G20" s="59" t="n">
        <v>12700000</v>
      </c>
      <c r="H20" s="50" t="s">
        <v>574</v>
      </c>
    </row>
    <row r="21" customFormat="false" ht="54.75" hidden="false" customHeight="true" outlineLevel="0" collapsed="false">
      <c r="A21" s="54" t="s">
        <v>38</v>
      </c>
      <c r="B21" s="50" t="s">
        <v>54</v>
      </c>
      <c r="C21" s="50" t="s">
        <v>15</v>
      </c>
      <c r="D21" s="50"/>
      <c r="E21" s="52" t="n">
        <v>0.84</v>
      </c>
      <c r="F21" s="50"/>
      <c r="G21" s="50"/>
      <c r="H21" s="50" t="s">
        <v>574</v>
      </c>
    </row>
    <row r="22" customFormat="false" ht="54.75" hidden="false" customHeight="true" outlineLevel="0" collapsed="false">
      <c r="A22" s="54" t="s">
        <v>38</v>
      </c>
      <c r="B22" s="50" t="s">
        <v>52</v>
      </c>
      <c r="C22" s="50" t="s">
        <v>15</v>
      </c>
      <c r="D22" s="50"/>
      <c r="E22" s="50"/>
      <c r="F22" s="50"/>
      <c r="G22" s="50"/>
      <c r="H22" s="50" t="s">
        <v>574</v>
      </c>
    </row>
    <row r="23" customFormat="false" ht="54.75" hidden="false" customHeight="true" outlineLevel="0" collapsed="false">
      <c r="A23" s="54" t="s">
        <v>38</v>
      </c>
      <c r="B23" s="50" t="s">
        <v>37</v>
      </c>
      <c r="C23" s="50" t="s">
        <v>15</v>
      </c>
      <c r="D23" s="50"/>
      <c r="E23" s="50"/>
      <c r="F23" s="50"/>
      <c r="G23" s="50"/>
      <c r="H23" s="50" t="s">
        <v>574</v>
      </c>
    </row>
    <row r="24" customFormat="false" ht="54.75" hidden="false" customHeight="true" outlineLevel="0" collapsed="false">
      <c r="A24" s="54" t="s">
        <v>38</v>
      </c>
      <c r="B24" s="50" t="s">
        <v>56</v>
      </c>
      <c r="C24" s="50" t="s">
        <v>15</v>
      </c>
      <c r="D24" s="50"/>
      <c r="E24" s="50"/>
      <c r="F24" s="50"/>
      <c r="G24" s="50"/>
      <c r="H24" s="50" t="s">
        <v>574</v>
      </c>
    </row>
    <row r="25" customFormat="false" ht="54.75" hidden="false" customHeight="true" outlineLevel="0" collapsed="false">
      <c r="A25" s="54" t="s">
        <v>38</v>
      </c>
      <c r="B25" s="50" t="s">
        <v>18</v>
      </c>
      <c r="C25" s="50" t="s">
        <v>15</v>
      </c>
      <c r="D25" s="51" t="n">
        <v>35500</v>
      </c>
      <c r="E25" s="50"/>
      <c r="F25" s="59" t="n">
        <v>4680000</v>
      </c>
      <c r="G25" s="59" t="n">
        <v>15240000</v>
      </c>
      <c r="H25" s="50" t="s">
        <v>573</v>
      </c>
    </row>
    <row r="26" customFormat="false" ht="54.75" hidden="false" customHeight="true" outlineLevel="0" collapsed="false">
      <c r="A26" s="54" t="s">
        <v>38</v>
      </c>
      <c r="B26" s="50" t="s">
        <v>53</v>
      </c>
      <c r="C26" s="50" t="s">
        <v>15</v>
      </c>
      <c r="D26" s="50"/>
      <c r="E26" s="50"/>
      <c r="F26" s="50"/>
      <c r="G26" s="50"/>
      <c r="H26" s="50" t="s">
        <v>574</v>
      </c>
    </row>
    <row r="27" customFormat="false" ht="54.75" hidden="false" customHeight="true" outlineLevel="0" collapsed="false">
      <c r="A27" s="54" t="s">
        <v>38</v>
      </c>
      <c r="B27" s="50" t="s">
        <v>49</v>
      </c>
      <c r="C27" s="50" t="s">
        <v>15</v>
      </c>
      <c r="D27" s="50"/>
      <c r="E27" s="50"/>
      <c r="F27" s="50"/>
      <c r="G27" s="50"/>
      <c r="H27" s="50" t="s">
        <v>575</v>
      </c>
    </row>
    <row r="28" customFormat="false" ht="54.75" hidden="false" customHeight="true" outlineLevel="0" collapsed="false">
      <c r="A28" s="54" t="s">
        <v>38</v>
      </c>
      <c r="B28" s="50" t="s">
        <v>27</v>
      </c>
      <c r="C28" s="50" t="s">
        <v>15</v>
      </c>
      <c r="D28" s="50"/>
      <c r="E28" s="50"/>
      <c r="F28" s="50"/>
      <c r="G28" s="50"/>
      <c r="H28" s="50" t="s">
        <v>573</v>
      </c>
    </row>
    <row r="29" customFormat="false" ht="54.75" hidden="false" customHeight="true" outlineLevel="0" collapsed="false">
      <c r="A29" s="54" t="s">
        <v>38</v>
      </c>
      <c r="B29" s="50" t="s">
        <v>51</v>
      </c>
      <c r="C29" s="50" t="s">
        <v>15</v>
      </c>
      <c r="D29" s="50"/>
      <c r="E29" s="50"/>
      <c r="F29" s="50"/>
      <c r="G29" s="50"/>
      <c r="H29" s="50" t="s">
        <v>573</v>
      </c>
    </row>
    <row r="30" customFormat="false" ht="54.75" hidden="false" customHeight="true" outlineLevel="0" collapsed="false">
      <c r="A30" s="54" t="s">
        <v>38</v>
      </c>
      <c r="B30" s="50" t="s">
        <v>14</v>
      </c>
      <c r="C30" s="50" t="s">
        <v>15</v>
      </c>
      <c r="D30" s="51" t="n">
        <v>81919</v>
      </c>
      <c r="E30" s="50"/>
      <c r="F30" s="59" t="n">
        <v>8400000</v>
      </c>
      <c r="G30" s="59" t="n">
        <v>28600000</v>
      </c>
      <c r="H30" s="50" t="s">
        <v>575</v>
      </c>
    </row>
    <row r="31" customFormat="false" ht="54.75" hidden="false" customHeight="true" outlineLevel="0" collapsed="false">
      <c r="A31" s="54" t="s">
        <v>38</v>
      </c>
      <c r="B31" s="50" t="s">
        <v>40</v>
      </c>
      <c r="C31" s="50" t="s">
        <v>15</v>
      </c>
      <c r="D31" s="50"/>
      <c r="E31" s="50"/>
      <c r="F31" s="50"/>
      <c r="G31" s="50"/>
      <c r="H31" s="50" t="s">
        <v>576</v>
      </c>
    </row>
    <row r="32" customFormat="false" ht="54.75" hidden="false" customHeight="true" outlineLevel="0" collapsed="false">
      <c r="A32" s="54" t="s">
        <v>38</v>
      </c>
      <c r="B32" s="50" t="s">
        <v>55</v>
      </c>
      <c r="C32" s="50" t="s">
        <v>15</v>
      </c>
      <c r="D32" s="50"/>
      <c r="E32" s="50"/>
      <c r="F32" s="50"/>
      <c r="G32" s="50"/>
      <c r="H32" s="50" t="s">
        <v>574</v>
      </c>
    </row>
    <row r="33" customFormat="false" ht="54.75" hidden="false" customHeight="true" outlineLevel="0" collapsed="false">
      <c r="A33" s="54" t="s">
        <v>38</v>
      </c>
      <c r="B33" s="50" t="s">
        <v>45</v>
      </c>
      <c r="C33" s="50" t="s">
        <v>20</v>
      </c>
      <c r="D33" s="50"/>
      <c r="E33" s="50"/>
      <c r="F33" s="50"/>
      <c r="G33" s="50"/>
      <c r="H33" s="50" t="s">
        <v>577</v>
      </c>
    </row>
    <row r="34" customFormat="false" ht="54.75" hidden="false" customHeight="true" outlineLevel="0" collapsed="false">
      <c r="A34" s="55" t="s">
        <v>33</v>
      </c>
      <c r="B34" s="50" t="s">
        <v>39</v>
      </c>
      <c r="C34" s="50" t="s">
        <v>20</v>
      </c>
      <c r="D34" s="51" t="n">
        <v>133303</v>
      </c>
      <c r="E34" s="52" t="n">
        <v>20</v>
      </c>
      <c r="F34" s="59" t="n">
        <v>9000000</v>
      </c>
      <c r="G34" s="59" t="n">
        <v>31600000</v>
      </c>
      <c r="H34" s="50" t="s">
        <v>578</v>
      </c>
    </row>
    <row r="35" customFormat="false" ht="54.75" hidden="false" customHeight="true" outlineLevel="0" collapsed="false">
      <c r="A35" s="55" t="s">
        <v>33</v>
      </c>
      <c r="B35" s="50" t="s">
        <v>32</v>
      </c>
      <c r="C35" s="50" t="s">
        <v>20</v>
      </c>
      <c r="D35" s="51" t="n">
        <v>44444</v>
      </c>
      <c r="E35" s="52" t="n">
        <v>7.95</v>
      </c>
      <c r="F35" s="59" t="n">
        <v>4200000</v>
      </c>
      <c r="G35" s="59" t="n">
        <v>14200000</v>
      </c>
      <c r="H35" s="50" t="s">
        <v>571</v>
      </c>
    </row>
    <row r="36" customFormat="false" ht="54.75" hidden="false" customHeight="true" outlineLevel="0" collapsed="false">
      <c r="A36" s="55" t="s">
        <v>33</v>
      </c>
      <c r="B36" s="50" t="s">
        <v>43</v>
      </c>
      <c r="C36" s="50" t="s">
        <v>15</v>
      </c>
      <c r="D36" s="51" t="n">
        <v>86000</v>
      </c>
      <c r="E36" s="52" t="n">
        <v>7.8</v>
      </c>
      <c r="F36" s="59" t="n">
        <v>6180000</v>
      </c>
      <c r="G36" s="59" t="n">
        <v>21520000</v>
      </c>
      <c r="H36" s="50" t="s">
        <v>572</v>
      </c>
    </row>
    <row r="37" customFormat="false" ht="54.75" hidden="false" customHeight="true" outlineLevel="0" collapsed="false">
      <c r="A37" s="55" t="s">
        <v>33</v>
      </c>
      <c r="B37" s="50" t="s">
        <v>46</v>
      </c>
      <c r="C37" s="50" t="s">
        <v>15</v>
      </c>
      <c r="D37" s="50"/>
      <c r="E37" s="52" t="n">
        <v>5</v>
      </c>
      <c r="F37" s="50"/>
      <c r="G37" s="50"/>
      <c r="H37" s="50" t="s">
        <v>570</v>
      </c>
    </row>
    <row r="38" customFormat="false" ht="54.75" hidden="false" customHeight="true" outlineLevel="0" collapsed="false">
      <c r="A38" s="55" t="s">
        <v>33</v>
      </c>
      <c r="B38" s="50" t="s">
        <v>36</v>
      </c>
      <c r="C38" s="50" t="s">
        <v>20</v>
      </c>
      <c r="D38" s="50"/>
      <c r="E38" s="50"/>
      <c r="F38" s="50"/>
      <c r="G38" s="50"/>
      <c r="H38" s="50" t="s">
        <v>574</v>
      </c>
    </row>
    <row r="39" customFormat="false" ht="54.75" hidden="false" customHeight="true" outlineLevel="0" collapsed="false">
      <c r="A39" s="56" t="s">
        <v>133</v>
      </c>
      <c r="B39" s="50" t="s">
        <v>491</v>
      </c>
      <c r="C39" s="50" t="s">
        <v>20</v>
      </c>
      <c r="D39" s="51" t="n">
        <v>160000</v>
      </c>
      <c r="E39" s="52" t="n">
        <v>24</v>
      </c>
      <c r="F39" s="50"/>
      <c r="G39" s="50"/>
      <c r="H39" s="50" t="s">
        <v>579</v>
      </c>
    </row>
    <row r="40" customFormat="false" ht="54.75" hidden="false" customHeight="true" outlineLevel="0" collapsed="false">
      <c r="A40" s="56" t="s">
        <v>133</v>
      </c>
      <c r="B40" s="50" t="s">
        <v>499</v>
      </c>
      <c r="C40" s="50" t="s">
        <v>20</v>
      </c>
      <c r="D40" s="51" t="n">
        <v>69544</v>
      </c>
      <c r="E40" s="52" t="n">
        <v>9</v>
      </c>
      <c r="F40" s="50"/>
      <c r="G40" s="50"/>
      <c r="H40" s="50" t="s">
        <v>580</v>
      </c>
    </row>
    <row r="41" customFormat="false" ht="54.75" hidden="false" customHeight="true" outlineLevel="0" collapsed="false">
      <c r="A41" s="56" t="s">
        <v>133</v>
      </c>
      <c r="B41" s="50" t="s">
        <v>507</v>
      </c>
      <c r="C41" s="50" t="s">
        <v>20</v>
      </c>
      <c r="D41" s="51" t="n">
        <v>58700</v>
      </c>
      <c r="E41" s="52" t="n">
        <v>7.5</v>
      </c>
      <c r="F41" s="50"/>
      <c r="G41" s="50"/>
      <c r="H41" s="50" t="s">
        <v>580</v>
      </c>
    </row>
    <row r="42" customFormat="false" ht="54.75" hidden="false" customHeight="true" outlineLevel="0" collapsed="false">
      <c r="A42" s="56" t="s">
        <v>133</v>
      </c>
      <c r="B42" s="50" t="s">
        <v>515</v>
      </c>
      <c r="C42" s="50" t="s">
        <v>20</v>
      </c>
      <c r="D42" s="51" t="n">
        <v>37500</v>
      </c>
      <c r="E42" s="52" t="n">
        <v>6</v>
      </c>
      <c r="F42" s="50"/>
      <c r="G42" s="50"/>
      <c r="H42" s="50" t="s">
        <v>580</v>
      </c>
    </row>
    <row r="43" customFormat="false" ht="54.75" hidden="false" customHeight="true" outlineLevel="0" collapsed="false">
      <c r="A43" s="56" t="s">
        <v>133</v>
      </c>
      <c r="B43" s="50" t="s">
        <v>523</v>
      </c>
      <c r="C43" s="50" t="s">
        <v>20</v>
      </c>
      <c r="D43" s="51" t="n">
        <v>61905</v>
      </c>
      <c r="E43" s="52" t="n">
        <v>5.79</v>
      </c>
      <c r="F43" s="50"/>
      <c r="G43" s="50"/>
      <c r="H43" s="50" t="s">
        <v>581</v>
      </c>
    </row>
    <row r="44" customFormat="false" ht="54.75" hidden="false" customHeight="true" outlineLevel="0" collapsed="false">
      <c r="A44" s="56" t="s">
        <v>133</v>
      </c>
      <c r="B44" s="50" t="s">
        <v>529</v>
      </c>
      <c r="C44" s="50" t="s">
        <v>20</v>
      </c>
      <c r="D44" s="51" t="n">
        <v>35704</v>
      </c>
      <c r="E44" s="52" t="n">
        <v>2.17</v>
      </c>
      <c r="F44" s="50"/>
      <c r="G44" s="50"/>
      <c r="H44" s="50" t="s">
        <v>581</v>
      </c>
    </row>
    <row r="45" customFormat="false" ht="54.75" hidden="false" customHeight="true" outlineLevel="0" collapsed="false">
      <c r="A45" s="56" t="s">
        <v>133</v>
      </c>
      <c r="B45" s="50" t="s">
        <v>537</v>
      </c>
      <c r="C45" s="50" t="s">
        <v>20</v>
      </c>
      <c r="D45" s="51" t="n">
        <v>1423</v>
      </c>
      <c r="E45" s="52" t="n">
        <v>0.09</v>
      </c>
      <c r="F45" s="50"/>
      <c r="G45" s="50"/>
      <c r="H45" s="50" t="s">
        <v>582</v>
      </c>
    </row>
    <row r="46" customFormat="false" ht="54.75" hidden="false" customHeight="true" outlineLevel="0" collapsed="false">
      <c r="A46" s="56" t="s">
        <v>133</v>
      </c>
      <c r="B46" s="50" t="s">
        <v>544</v>
      </c>
      <c r="C46" s="50" t="s">
        <v>15</v>
      </c>
      <c r="D46" s="51" t="n">
        <v>2028</v>
      </c>
      <c r="E46" s="52" t="n">
        <v>0.06</v>
      </c>
      <c r="F46" s="50"/>
      <c r="G46" s="50"/>
      <c r="H46" s="50" t="s">
        <v>583</v>
      </c>
    </row>
  </sheetData>
  <autoFilter ref="A1:H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B2:C4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0" width="3"/>
    <col collapsed="false" customWidth="true" hidden="false" outlineLevel="0" max="2" min="2" style="30" width="25"/>
    <col collapsed="false" customWidth="true" hidden="false" outlineLevel="0" max="3" min="3" style="30" width="50"/>
  </cols>
  <sheetData>
    <row r="2" customFormat="false" ht="30" hidden="false" customHeight="true" outlineLevel="0" collapsed="false">
      <c r="B2" s="60" t="s">
        <v>584</v>
      </c>
      <c r="C2" s="60"/>
    </row>
    <row r="4" customFormat="false" ht="15" hidden="false" customHeight="true" outlineLevel="0" collapsed="false">
      <c r="B4" s="61" t="s">
        <v>585</v>
      </c>
      <c r="C4" s="61"/>
    </row>
    <row r="5" customFormat="false" ht="15" hidden="false" customHeight="true" outlineLevel="0" collapsed="false">
      <c r="B5" s="34" t="s">
        <v>217</v>
      </c>
      <c r="C5" s="62" t="s">
        <v>228</v>
      </c>
    </row>
    <row r="6" customFormat="false" ht="15" hidden="false" customHeight="true" outlineLevel="0" collapsed="false">
      <c r="B6" s="34" t="s">
        <v>184</v>
      </c>
      <c r="C6" s="62" t="s">
        <v>586</v>
      </c>
    </row>
    <row r="7" customFormat="false" ht="15" hidden="false" customHeight="true" outlineLevel="0" collapsed="false">
      <c r="B7" s="34" t="s">
        <v>587</v>
      </c>
      <c r="C7" s="62" t="s">
        <v>588</v>
      </c>
    </row>
    <row r="8" customFormat="false" ht="15" hidden="false" customHeight="true" outlineLevel="0" collapsed="false">
      <c r="B8" s="34" t="s">
        <v>220</v>
      </c>
      <c r="C8" s="62" t="s">
        <v>229</v>
      </c>
    </row>
    <row r="9" customFormat="false" ht="15" hidden="false" customHeight="true" outlineLevel="0" collapsed="false">
      <c r="B9" s="34" t="s">
        <v>589</v>
      </c>
      <c r="C9" s="62" t="s">
        <v>230</v>
      </c>
    </row>
    <row r="10" customFormat="false" ht="23.25" hidden="false" customHeight="true" outlineLevel="0" collapsed="false">
      <c r="B10" s="34" t="s">
        <v>223</v>
      </c>
      <c r="C10" s="62" t="s">
        <v>590</v>
      </c>
    </row>
    <row r="11" customFormat="false" ht="23.25" hidden="false" customHeight="true" outlineLevel="0" collapsed="false">
      <c r="B11" s="34" t="s">
        <v>224</v>
      </c>
      <c r="C11" s="62" t="s">
        <v>591</v>
      </c>
    </row>
    <row r="12" customFormat="false" ht="23.25" hidden="false" customHeight="true" outlineLevel="0" collapsed="false">
      <c r="B12" s="34" t="s">
        <v>225</v>
      </c>
      <c r="C12" s="62" t="s">
        <v>234</v>
      </c>
    </row>
    <row r="13" customFormat="false" ht="34.5" hidden="false" customHeight="true" outlineLevel="0" collapsed="false">
      <c r="B13" s="34" t="s">
        <v>226</v>
      </c>
      <c r="C13" s="62" t="s">
        <v>592</v>
      </c>
    </row>
    <row r="14" customFormat="false" ht="15" hidden="false" customHeight="true" outlineLevel="0" collapsed="false">
      <c r="B14" s="36"/>
      <c r="C14" s="62"/>
    </row>
    <row r="15" customFormat="false" ht="34.5" hidden="false" customHeight="true" outlineLevel="0" collapsed="false">
      <c r="B15" s="63" t="s">
        <v>593</v>
      </c>
      <c r="C15" s="62" t="s">
        <v>553</v>
      </c>
    </row>
    <row r="16" customFormat="false" ht="57" hidden="false" customHeight="true" outlineLevel="0" collapsed="false">
      <c r="B16" s="63" t="s">
        <v>594</v>
      </c>
      <c r="C16" s="62" t="s">
        <v>554</v>
      </c>
    </row>
    <row r="17" customFormat="false" ht="23.25" hidden="false" customHeight="true" outlineLevel="0" collapsed="false">
      <c r="B17" s="63" t="s">
        <v>595</v>
      </c>
      <c r="C17" s="62" t="s">
        <v>596</v>
      </c>
    </row>
    <row r="18" customFormat="false" ht="15" hidden="false" customHeight="true" outlineLevel="0" collapsed="false">
      <c r="B18" s="36"/>
      <c r="C18" s="62"/>
    </row>
    <row r="19" customFormat="false" ht="15" hidden="false" customHeight="true" outlineLevel="0" collapsed="false">
      <c r="B19" s="63" t="s">
        <v>597</v>
      </c>
      <c r="C19" s="62"/>
    </row>
    <row r="20" customFormat="false" ht="15" hidden="false" customHeight="true" outlineLevel="0" collapsed="false">
      <c r="B20" s="34" t="s">
        <v>168</v>
      </c>
      <c r="C20" s="64" t="s">
        <v>598</v>
      </c>
    </row>
    <row r="21" customFormat="false" ht="15" hidden="false" customHeight="true" outlineLevel="0" collapsed="false">
      <c r="B21" s="34" t="s">
        <v>169</v>
      </c>
      <c r="C21" s="64" t="s">
        <v>599</v>
      </c>
    </row>
    <row r="22" customFormat="false" ht="15" hidden="false" customHeight="true" outlineLevel="0" collapsed="false">
      <c r="B22" s="36"/>
      <c r="C22" s="62"/>
    </row>
    <row r="23" customFormat="false" ht="15" hidden="false" customHeight="true" outlineLevel="0" collapsed="false">
      <c r="B23" s="63" t="s">
        <v>600</v>
      </c>
      <c r="C23" s="62"/>
    </row>
    <row r="24" customFormat="false" ht="23.25" hidden="false" customHeight="true" outlineLevel="0" collapsed="false">
      <c r="B24" s="36"/>
      <c r="C24" s="62" t="s">
        <v>601</v>
      </c>
    </row>
    <row r="25" customFormat="false" ht="23.25" hidden="false" customHeight="true" outlineLevel="0" collapsed="false">
      <c r="B25" s="36"/>
      <c r="C25" s="62" t="s">
        <v>602</v>
      </c>
    </row>
    <row r="26" customFormat="false" ht="23.25" hidden="false" customHeight="true" outlineLevel="0" collapsed="false">
      <c r="B26" s="36"/>
      <c r="C26" s="62" t="s">
        <v>603</v>
      </c>
    </row>
    <row r="27" customFormat="false" ht="23.25" hidden="false" customHeight="true" outlineLevel="0" collapsed="false">
      <c r="B27" s="36"/>
      <c r="C27" s="62" t="s">
        <v>604</v>
      </c>
    </row>
    <row r="28" customFormat="false" ht="23.25" hidden="false" customHeight="true" outlineLevel="0" collapsed="false">
      <c r="B28" s="36"/>
      <c r="C28" s="62" t="s">
        <v>605</v>
      </c>
    </row>
    <row r="29" customFormat="false" ht="23.25" hidden="false" customHeight="true" outlineLevel="0" collapsed="false">
      <c r="B29" s="36"/>
      <c r="C29" s="62" t="s">
        <v>606</v>
      </c>
    </row>
    <row r="30" customFormat="false" ht="15" hidden="false" customHeight="true" outlineLevel="0" collapsed="false">
      <c r="B30" s="36"/>
      <c r="C30" s="62" t="s">
        <v>607</v>
      </c>
    </row>
    <row r="31" customFormat="false" ht="23.25" hidden="false" customHeight="true" outlineLevel="0" collapsed="false">
      <c r="B31" s="36"/>
      <c r="C31" s="62" t="s">
        <v>608</v>
      </c>
    </row>
    <row r="32" customFormat="false" ht="23.25" hidden="false" customHeight="true" outlineLevel="0" collapsed="false">
      <c r="B32" s="36"/>
      <c r="C32" s="62" t="s">
        <v>609</v>
      </c>
    </row>
    <row r="33" customFormat="false" ht="15" hidden="false" customHeight="true" outlineLevel="0" collapsed="false">
      <c r="B33" s="36"/>
      <c r="C33" s="62"/>
    </row>
    <row r="35" customFormat="false" ht="15" hidden="false" customHeight="true" outlineLevel="0" collapsed="false">
      <c r="B35" s="61" t="s">
        <v>610</v>
      </c>
      <c r="C35" s="61"/>
    </row>
    <row r="36" customFormat="false" ht="15" hidden="false" customHeight="true" outlineLevel="0" collapsed="false">
      <c r="B36" s="34" t="s">
        <v>217</v>
      </c>
      <c r="C36" s="62" t="s">
        <v>237</v>
      </c>
    </row>
    <row r="37" customFormat="false" ht="15" hidden="false" customHeight="true" outlineLevel="0" collapsed="false">
      <c r="B37" s="34" t="s">
        <v>184</v>
      </c>
      <c r="C37" s="62" t="s">
        <v>611</v>
      </c>
    </row>
    <row r="38" customFormat="false" ht="15" hidden="false" customHeight="true" outlineLevel="0" collapsed="false">
      <c r="B38" s="34" t="s">
        <v>587</v>
      </c>
      <c r="C38" s="62" t="s">
        <v>612</v>
      </c>
    </row>
    <row r="39" customFormat="false" ht="23.25" hidden="false" customHeight="true" outlineLevel="0" collapsed="false">
      <c r="B39" s="34" t="s">
        <v>220</v>
      </c>
      <c r="C39" s="62" t="s">
        <v>238</v>
      </c>
    </row>
    <row r="40" customFormat="false" ht="15" hidden="false" customHeight="true" outlineLevel="0" collapsed="false">
      <c r="B40" s="34" t="s">
        <v>589</v>
      </c>
      <c r="C40" s="62" t="s">
        <v>230</v>
      </c>
    </row>
    <row r="41" customFormat="false" ht="23.25" hidden="false" customHeight="true" outlineLevel="0" collapsed="false">
      <c r="B41" s="34" t="s">
        <v>223</v>
      </c>
      <c r="C41" s="62" t="s">
        <v>613</v>
      </c>
    </row>
    <row r="42" customFormat="false" ht="23.25" hidden="false" customHeight="true" outlineLevel="0" collapsed="false">
      <c r="B42" s="34" t="s">
        <v>224</v>
      </c>
      <c r="C42" s="62" t="s">
        <v>614</v>
      </c>
    </row>
    <row r="43" customFormat="false" ht="34.5" hidden="false" customHeight="true" outlineLevel="0" collapsed="false">
      <c r="B43" s="34" t="s">
        <v>225</v>
      </c>
      <c r="C43" s="62" t="s">
        <v>615</v>
      </c>
    </row>
    <row r="44" customFormat="false" ht="23.25" hidden="false" customHeight="true" outlineLevel="0" collapsed="false">
      <c r="B44" s="34" t="s">
        <v>226</v>
      </c>
      <c r="C44" s="62" t="s">
        <v>616</v>
      </c>
    </row>
    <row r="45" customFormat="false" ht="15" hidden="false" customHeight="true" outlineLevel="0" collapsed="false">
      <c r="B45" s="36"/>
      <c r="C45" s="62"/>
    </row>
    <row r="46" customFormat="false" ht="34.5" hidden="false" customHeight="true" outlineLevel="0" collapsed="false">
      <c r="B46" s="63" t="s">
        <v>593</v>
      </c>
      <c r="C46" s="62" t="s">
        <v>553</v>
      </c>
    </row>
    <row r="47" customFormat="false" ht="57" hidden="false" customHeight="true" outlineLevel="0" collapsed="false">
      <c r="B47" s="63" t="s">
        <v>594</v>
      </c>
      <c r="C47" s="62" t="s">
        <v>554</v>
      </c>
    </row>
    <row r="48" customFormat="false" ht="23.25" hidden="false" customHeight="true" outlineLevel="0" collapsed="false">
      <c r="B48" s="63" t="s">
        <v>595</v>
      </c>
      <c r="C48" s="62" t="s">
        <v>596</v>
      </c>
    </row>
    <row r="49" customFormat="false" ht="15" hidden="false" customHeight="true" outlineLevel="0" collapsed="false">
      <c r="B49" s="36"/>
      <c r="C49" s="62"/>
    </row>
    <row r="50" customFormat="false" ht="15" hidden="false" customHeight="true" outlineLevel="0" collapsed="false">
      <c r="B50" s="63" t="s">
        <v>597</v>
      </c>
      <c r="C50" s="62"/>
    </row>
    <row r="51" customFormat="false" ht="15" hidden="false" customHeight="true" outlineLevel="0" collapsed="false">
      <c r="B51" s="34" t="s">
        <v>168</v>
      </c>
      <c r="C51" s="64" t="s">
        <v>617</v>
      </c>
    </row>
    <row r="52" customFormat="false" ht="15" hidden="false" customHeight="true" outlineLevel="0" collapsed="false">
      <c r="B52" s="34" t="s">
        <v>169</v>
      </c>
      <c r="C52" s="64" t="s">
        <v>618</v>
      </c>
    </row>
    <row r="53" customFormat="false" ht="15" hidden="false" customHeight="true" outlineLevel="0" collapsed="false">
      <c r="B53" s="36"/>
      <c r="C53" s="62"/>
    </row>
    <row r="54" customFormat="false" ht="15" hidden="false" customHeight="true" outlineLevel="0" collapsed="false">
      <c r="B54" s="63" t="s">
        <v>600</v>
      </c>
      <c r="C54" s="62"/>
    </row>
    <row r="55" customFormat="false" ht="23.25" hidden="false" customHeight="true" outlineLevel="0" collapsed="false">
      <c r="B55" s="36"/>
      <c r="C55" s="62" t="s">
        <v>601</v>
      </c>
    </row>
    <row r="56" customFormat="false" ht="23.25" hidden="false" customHeight="true" outlineLevel="0" collapsed="false">
      <c r="B56" s="36"/>
      <c r="C56" s="62" t="s">
        <v>602</v>
      </c>
    </row>
    <row r="57" customFormat="false" ht="23.25" hidden="false" customHeight="true" outlineLevel="0" collapsed="false">
      <c r="B57" s="36"/>
      <c r="C57" s="62" t="s">
        <v>603</v>
      </c>
    </row>
    <row r="58" customFormat="false" ht="23.25" hidden="false" customHeight="true" outlineLevel="0" collapsed="false">
      <c r="B58" s="36"/>
      <c r="C58" s="62" t="s">
        <v>604</v>
      </c>
    </row>
    <row r="59" customFormat="false" ht="23.25" hidden="false" customHeight="true" outlineLevel="0" collapsed="false">
      <c r="B59" s="36"/>
      <c r="C59" s="62" t="s">
        <v>605</v>
      </c>
    </row>
    <row r="60" customFormat="false" ht="23.25" hidden="false" customHeight="true" outlineLevel="0" collapsed="false">
      <c r="B60" s="36"/>
      <c r="C60" s="62" t="s">
        <v>606</v>
      </c>
    </row>
    <row r="61" customFormat="false" ht="15" hidden="false" customHeight="true" outlineLevel="0" collapsed="false">
      <c r="B61" s="36"/>
      <c r="C61" s="62" t="s">
        <v>607</v>
      </c>
    </row>
    <row r="62" customFormat="false" ht="23.25" hidden="false" customHeight="true" outlineLevel="0" collapsed="false">
      <c r="B62" s="36"/>
      <c r="C62" s="62" t="s">
        <v>608</v>
      </c>
    </row>
    <row r="63" customFormat="false" ht="23.25" hidden="false" customHeight="true" outlineLevel="0" collapsed="false">
      <c r="B63" s="36"/>
      <c r="C63" s="62" t="s">
        <v>609</v>
      </c>
    </row>
    <row r="64" customFormat="false" ht="15" hidden="false" customHeight="true" outlineLevel="0" collapsed="false">
      <c r="B64" s="36"/>
      <c r="C64" s="62"/>
    </row>
    <row r="66" customFormat="false" ht="15" hidden="false" customHeight="true" outlineLevel="0" collapsed="false">
      <c r="B66" s="61" t="s">
        <v>619</v>
      </c>
      <c r="C66" s="61"/>
    </row>
    <row r="67" customFormat="false" ht="15" hidden="false" customHeight="true" outlineLevel="0" collapsed="false">
      <c r="B67" s="34" t="s">
        <v>217</v>
      </c>
      <c r="C67" s="62" t="s">
        <v>244</v>
      </c>
    </row>
    <row r="68" customFormat="false" ht="15" hidden="false" customHeight="true" outlineLevel="0" collapsed="false">
      <c r="B68" s="34" t="s">
        <v>184</v>
      </c>
      <c r="C68" s="62" t="s">
        <v>620</v>
      </c>
    </row>
    <row r="69" customFormat="false" ht="15" hidden="false" customHeight="true" outlineLevel="0" collapsed="false">
      <c r="B69" s="34" t="s">
        <v>587</v>
      </c>
      <c r="C69" s="62" t="s">
        <v>621</v>
      </c>
    </row>
    <row r="70" customFormat="false" ht="68.25" hidden="false" customHeight="true" outlineLevel="0" collapsed="false">
      <c r="B70" s="34" t="s">
        <v>220</v>
      </c>
      <c r="C70" s="62" t="s">
        <v>245</v>
      </c>
    </row>
    <row r="71" customFormat="false" ht="15" hidden="false" customHeight="true" outlineLevel="0" collapsed="false">
      <c r="B71" s="34" t="s">
        <v>589</v>
      </c>
      <c r="C71" s="62" t="s">
        <v>230</v>
      </c>
    </row>
    <row r="72" customFormat="false" ht="34.5" hidden="false" customHeight="true" outlineLevel="0" collapsed="false">
      <c r="B72" s="34" t="s">
        <v>223</v>
      </c>
      <c r="C72" s="62" t="s">
        <v>622</v>
      </c>
    </row>
    <row r="73" customFormat="false" ht="23.25" hidden="false" customHeight="true" outlineLevel="0" collapsed="false">
      <c r="B73" s="34" t="s">
        <v>224</v>
      </c>
      <c r="C73" s="62" t="s">
        <v>623</v>
      </c>
    </row>
    <row r="74" customFormat="false" ht="34.5" hidden="false" customHeight="true" outlineLevel="0" collapsed="false">
      <c r="B74" s="34" t="s">
        <v>225</v>
      </c>
      <c r="C74" s="62" t="s">
        <v>624</v>
      </c>
    </row>
    <row r="75" customFormat="false" ht="23.25" hidden="false" customHeight="true" outlineLevel="0" collapsed="false">
      <c r="B75" s="34" t="s">
        <v>226</v>
      </c>
      <c r="C75" s="62" t="s">
        <v>625</v>
      </c>
    </row>
    <row r="76" customFormat="false" ht="15" hidden="false" customHeight="true" outlineLevel="0" collapsed="false">
      <c r="B76" s="36"/>
      <c r="C76" s="62"/>
    </row>
    <row r="77" customFormat="false" ht="34.5" hidden="false" customHeight="true" outlineLevel="0" collapsed="false">
      <c r="B77" s="63" t="s">
        <v>593</v>
      </c>
      <c r="C77" s="62" t="s">
        <v>553</v>
      </c>
    </row>
    <row r="78" customFormat="false" ht="57" hidden="false" customHeight="true" outlineLevel="0" collapsed="false">
      <c r="B78" s="63" t="s">
        <v>594</v>
      </c>
      <c r="C78" s="62" t="s">
        <v>554</v>
      </c>
    </row>
    <row r="79" customFormat="false" ht="23.25" hidden="false" customHeight="true" outlineLevel="0" collapsed="false">
      <c r="B79" s="63" t="s">
        <v>595</v>
      </c>
      <c r="C79" s="62" t="s">
        <v>596</v>
      </c>
    </row>
    <row r="80" customFormat="false" ht="15" hidden="false" customHeight="true" outlineLevel="0" collapsed="false">
      <c r="B80" s="36"/>
      <c r="C80" s="62"/>
    </row>
    <row r="81" customFormat="false" ht="15" hidden="false" customHeight="true" outlineLevel="0" collapsed="false">
      <c r="B81" s="63" t="s">
        <v>597</v>
      </c>
      <c r="C81" s="62"/>
    </row>
    <row r="82" customFormat="false" ht="15" hidden="false" customHeight="true" outlineLevel="0" collapsed="false">
      <c r="B82" s="34" t="s">
        <v>168</v>
      </c>
      <c r="C82" s="64" t="s">
        <v>626</v>
      </c>
    </row>
    <row r="83" customFormat="false" ht="15" hidden="false" customHeight="true" outlineLevel="0" collapsed="false">
      <c r="B83" s="34" t="s">
        <v>169</v>
      </c>
      <c r="C83" s="64" t="s">
        <v>627</v>
      </c>
    </row>
    <row r="84" customFormat="false" ht="15" hidden="false" customHeight="true" outlineLevel="0" collapsed="false">
      <c r="B84" s="36"/>
      <c r="C84" s="62"/>
    </row>
    <row r="85" customFormat="false" ht="15" hidden="false" customHeight="true" outlineLevel="0" collapsed="false">
      <c r="B85" s="63" t="s">
        <v>600</v>
      </c>
      <c r="C85" s="62"/>
    </row>
    <row r="86" customFormat="false" ht="23.25" hidden="false" customHeight="true" outlineLevel="0" collapsed="false">
      <c r="B86" s="36"/>
      <c r="C86" s="62" t="s">
        <v>601</v>
      </c>
    </row>
    <row r="87" customFormat="false" ht="23.25" hidden="false" customHeight="true" outlineLevel="0" collapsed="false">
      <c r="B87" s="36"/>
      <c r="C87" s="62" t="s">
        <v>602</v>
      </c>
    </row>
    <row r="88" customFormat="false" ht="23.25" hidden="false" customHeight="true" outlineLevel="0" collapsed="false">
      <c r="B88" s="36"/>
      <c r="C88" s="62" t="s">
        <v>603</v>
      </c>
    </row>
    <row r="89" customFormat="false" ht="23.25" hidden="false" customHeight="true" outlineLevel="0" collapsed="false">
      <c r="B89" s="36"/>
      <c r="C89" s="62" t="s">
        <v>604</v>
      </c>
    </row>
    <row r="90" customFormat="false" ht="23.25" hidden="false" customHeight="true" outlineLevel="0" collapsed="false">
      <c r="B90" s="36"/>
      <c r="C90" s="62" t="s">
        <v>605</v>
      </c>
    </row>
    <row r="91" customFormat="false" ht="23.25" hidden="false" customHeight="true" outlineLevel="0" collapsed="false">
      <c r="B91" s="36"/>
      <c r="C91" s="62" t="s">
        <v>606</v>
      </c>
    </row>
    <row r="92" customFormat="false" ht="15" hidden="false" customHeight="true" outlineLevel="0" collapsed="false">
      <c r="B92" s="36"/>
      <c r="C92" s="62" t="s">
        <v>607</v>
      </c>
    </row>
    <row r="93" customFormat="false" ht="23.25" hidden="false" customHeight="true" outlineLevel="0" collapsed="false">
      <c r="B93" s="36"/>
      <c r="C93" s="62" t="s">
        <v>608</v>
      </c>
    </row>
    <row r="94" customFormat="false" ht="23.25" hidden="false" customHeight="true" outlineLevel="0" collapsed="false">
      <c r="B94" s="36"/>
      <c r="C94" s="62" t="s">
        <v>609</v>
      </c>
    </row>
    <row r="95" customFormat="false" ht="15" hidden="false" customHeight="true" outlineLevel="0" collapsed="false">
      <c r="B95" s="36"/>
      <c r="C95" s="62"/>
    </row>
    <row r="97" customFormat="false" ht="15" hidden="false" customHeight="true" outlineLevel="0" collapsed="false">
      <c r="B97" s="61" t="s">
        <v>628</v>
      </c>
      <c r="C97" s="61"/>
    </row>
    <row r="98" customFormat="false" ht="15" hidden="false" customHeight="true" outlineLevel="0" collapsed="false">
      <c r="B98" s="34" t="s">
        <v>217</v>
      </c>
      <c r="C98" s="62" t="s">
        <v>251</v>
      </c>
    </row>
    <row r="99" customFormat="false" ht="15" hidden="false" customHeight="true" outlineLevel="0" collapsed="false">
      <c r="B99" s="34" t="s">
        <v>184</v>
      </c>
      <c r="C99" s="62" t="s">
        <v>629</v>
      </c>
    </row>
    <row r="100" customFormat="false" ht="15" hidden="false" customHeight="true" outlineLevel="0" collapsed="false">
      <c r="B100" s="34" t="s">
        <v>587</v>
      </c>
      <c r="C100" s="62" t="s">
        <v>630</v>
      </c>
    </row>
    <row r="101" customFormat="false" ht="15" hidden="false" customHeight="true" outlineLevel="0" collapsed="false">
      <c r="B101" s="34" t="s">
        <v>220</v>
      </c>
      <c r="C101" s="62" t="s">
        <v>252</v>
      </c>
    </row>
    <row r="102" customFormat="false" ht="15" hidden="false" customHeight="true" outlineLevel="0" collapsed="false">
      <c r="B102" s="34" t="s">
        <v>589</v>
      </c>
      <c r="C102" s="62" t="s">
        <v>230</v>
      </c>
    </row>
    <row r="103" customFormat="false" ht="23.25" hidden="false" customHeight="true" outlineLevel="0" collapsed="false">
      <c r="B103" s="34" t="s">
        <v>223</v>
      </c>
      <c r="C103" s="62" t="s">
        <v>631</v>
      </c>
    </row>
    <row r="104" customFormat="false" ht="23.25" hidden="false" customHeight="true" outlineLevel="0" collapsed="false">
      <c r="B104" s="34" t="s">
        <v>224</v>
      </c>
      <c r="C104" s="62" t="s">
        <v>632</v>
      </c>
    </row>
    <row r="105" customFormat="false" ht="23.25" hidden="false" customHeight="true" outlineLevel="0" collapsed="false">
      <c r="B105" s="34" t="s">
        <v>225</v>
      </c>
      <c r="C105" s="62" t="s">
        <v>633</v>
      </c>
    </row>
    <row r="106" customFormat="false" ht="15" hidden="false" customHeight="true" outlineLevel="0" collapsed="false">
      <c r="B106" s="34" t="s">
        <v>226</v>
      </c>
      <c r="C106" s="62" t="s">
        <v>256</v>
      </c>
    </row>
    <row r="107" customFormat="false" ht="15" hidden="false" customHeight="true" outlineLevel="0" collapsed="false">
      <c r="B107" s="36"/>
      <c r="C107" s="62"/>
    </row>
    <row r="108" customFormat="false" ht="34.5" hidden="false" customHeight="true" outlineLevel="0" collapsed="false">
      <c r="B108" s="63" t="s">
        <v>593</v>
      </c>
      <c r="C108" s="62" t="s">
        <v>553</v>
      </c>
    </row>
    <row r="109" customFormat="false" ht="57" hidden="false" customHeight="true" outlineLevel="0" collapsed="false">
      <c r="B109" s="63" t="s">
        <v>594</v>
      </c>
      <c r="C109" s="62" t="s">
        <v>554</v>
      </c>
    </row>
    <row r="110" customFormat="false" ht="23.25" hidden="false" customHeight="true" outlineLevel="0" collapsed="false">
      <c r="B110" s="63" t="s">
        <v>595</v>
      </c>
      <c r="C110" s="62" t="s">
        <v>596</v>
      </c>
    </row>
    <row r="111" customFormat="false" ht="15" hidden="false" customHeight="true" outlineLevel="0" collapsed="false">
      <c r="B111" s="36"/>
      <c r="C111" s="62"/>
    </row>
    <row r="112" customFormat="false" ht="15" hidden="false" customHeight="true" outlineLevel="0" collapsed="false">
      <c r="B112" s="63" t="s">
        <v>597</v>
      </c>
      <c r="C112" s="62"/>
    </row>
    <row r="113" customFormat="false" ht="15" hidden="false" customHeight="true" outlineLevel="0" collapsed="false">
      <c r="B113" s="34" t="s">
        <v>168</v>
      </c>
      <c r="C113" s="64" t="s">
        <v>598</v>
      </c>
    </row>
    <row r="114" customFormat="false" ht="15" hidden="false" customHeight="true" outlineLevel="0" collapsed="false">
      <c r="B114" s="34" t="s">
        <v>169</v>
      </c>
      <c r="C114" s="64" t="s">
        <v>599</v>
      </c>
    </row>
    <row r="115" customFormat="false" ht="15" hidden="false" customHeight="true" outlineLevel="0" collapsed="false">
      <c r="B115" s="36"/>
      <c r="C115" s="62"/>
    </row>
    <row r="116" customFormat="false" ht="15" hidden="false" customHeight="true" outlineLevel="0" collapsed="false">
      <c r="B116" s="63" t="s">
        <v>600</v>
      </c>
      <c r="C116" s="62"/>
    </row>
    <row r="117" customFormat="false" ht="23.25" hidden="false" customHeight="true" outlineLevel="0" collapsed="false">
      <c r="B117" s="36"/>
      <c r="C117" s="62" t="s">
        <v>601</v>
      </c>
    </row>
    <row r="118" customFormat="false" ht="23.25" hidden="false" customHeight="true" outlineLevel="0" collapsed="false">
      <c r="B118" s="36"/>
      <c r="C118" s="62" t="s">
        <v>602</v>
      </c>
    </row>
    <row r="119" customFormat="false" ht="23.25" hidden="false" customHeight="true" outlineLevel="0" collapsed="false">
      <c r="B119" s="36"/>
      <c r="C119" s="62" t="s">
        <v>603</v>
      </c>
    </row>
    <row r="120" customFormat="false" ht="23.25" hidden="false" customHeight="true" outlineLevel="0" collapsed="false">
      <c r="B120" s="36"/>
      <c r="C120" s="62" t="s">
        <v>604</v>
      </c>
    </row>
    <row r="121" customFormat="false" ht="23.25" hidden="false" customHeight="true" outlineLevel="0" collapsed="false">
      <c r="B121" s="36"/>
      <c r="C121" s="62" t="s">
        <v>605</v>
      </c>
    </row>
    <row r="122" customFormat="false" ht="23.25" hidden="false" customHeight="true" outlineLevel="0" collapsed="false">
      <c r="B122" s="36"/>
      <c r="C122" s="62" t="s">
        <v>606</v>
      </c>
    </row>
    <row r="123" customFormat="false" ht="15" hidden="false" customHeight="true" outlineLevel="0" collapsed="false">
      <c r="B123" s="36"/>
      <c r="C123" s="62" t="s">
        <v>607</v>
      </c>
    </row>
    <row r="124" customFormat="false" ht="23.25" hidden="false" customHeight="true" outlineLevel="0" collapsed="false">
      <c r="B124" s="36"/>
      <c r="C124" s="62" t="s">
        <v>608</v>
      </c>
    </row>
    <row r="125" customFormat="false" ht="23.25" hidden="false" customHeight="true" outlineLevel="0" collapsed="false">
      <c r="B125" s="36"/>
      <c r="C125" s="62" t="s">
        <v>609</v>
      </c>
    </row>
    <row r="126" customFormat="false" ht="15" hidden="false" customHeight="true" outlineLevel="0" collapsed="false">
      <c r="B126" s="36"/>
      <c r="C126" s="62"/>
    </row>
    <row r="128" customFormat="false" ht="15" hidden="false" customHeight="true" outlineLevel="0" collapsed="false">
      <c r="B128" s="61" t="s">
        <v>634</v>
      </c>
      <c r="C128" s="61"/>
    </row>
    <row r="129" customFormat="false" ht="15" hidden="false" customHeight="true" outlineLevel="0" collapsed="false">
      <c r="B129" s="34" t="s">
        <v>217</v>
      </c>
      <c r="C129" s="62" t="s">
        <v>258</v>
      </c>
    </row>
    <row r="130" customFormat="false" ht="15" hidden="false" customHeight="true" outlineLevel="0" collapsed="false">
      <c r="B130" s="34" t="s">
        <v>184</v>
      </c>
      <c r="C130" s="62" t="s">
        <v>635</v>
      </c>
    </row>
    <row r="131" customFormat="false" ht="15" hidden="false" customHeight="true" outlineLevel="0" collapsed="false">
      <c r="B131" s="34" t="s">
        <v>587</v>
      </c>
      <c r="C131" s="62" t="s">
        <v>636</v>
      </c>
    </row>
    <row r="132" customFormat="false" ht="45.75" hidden="false" customHeight="true" outlineLevel="0" collapsed="false">
      <c r="B132" s="34" t="s">
        <v>220</v>
      </c>
      <c r="C132" s="62" t="s">
        <v>259</v>
      </c>
    </row>
    <row r="133" customFormat="false" ht="15" hidden="false" customHeight="true" outlineLevel="0" collapsed="false">
      <c r="B133" s="34" t="s">
        <v>589</v>
      </c>
      <c r="C133" s="62" t="s">
        <v>230</v>
      </c>
    </row>
    <row r="134" customFormat="false" ht="34.5" hidden="false" customHeight="true" outlineLevel="0" collapsed="false">
      <c r="B134" s="34" t="s">
        <v>223</v>
      </c>
      <c r="C134" s="62" t="s">
        <v>637</v>
      </c>
    </row>
    <row r="135" customFormat="false" ht="34.5" hidden="false" customHeight="true" outlineLevel="0" collapsed="false">
      <c r="B135" s="34" t="s">
        <v>224</v>
      </c>
      <c r="C135" s="62" t="s">
        <v>638</v>
      </c>
    </row>
    <row r="136" customFormat="false" ht="34.5" hidden="false" customHeight="true" outlineLevel="0" collapsed="false">
      <c r="B136" s="34" t="s">
        <v>225</v>
      </c>
      <c r="C136" s="62" t="s">
        <v>639</v>
      </c>
    </row>
    <row r="137" customFormat="false" ht="34.5" hidden="false" customHeight="true" outlineLevel="0" collapsed="false">
      <c r="B137" s="34" t="s">
        <v>226</v>
      </c>
      <c r="C137" s="62" t="s">
        <v>640</v>
      </c>
    </row>
    <row r="138" customFormat="false" ht="15" hidden="false" customHeight="true" outlineLevel="0" collapsed="false">
      <c r="B138" s="36"/>
      <c r="C138" s="62"/>
    </row>
    <row r="139" customFormat="false" ht="34.5" hidden="false" customHeight="true" outlineLevel="0" collapsed="false">
      <c r="B139" s="63" t="s">
        <v>593</v>
      </c>
      <c r="C139" s="62" t="s">
        <v>553</v>
      </c>
    </row>
    <row r="140" customFormat="false" ht="45.75" hidden="false" customHeight="true" outlineLevel="0" collapsed="false">
      <c r="B140" s="63" t="s">
        <v>594</v>
      </c>
      <c r="C140" s="62" t="s">
        <v>556</v>
      </c>
    </row>
    <row r="141" customFormat="false" ht="23.25" hidden="false" customHeight="true" outlineLevel="0" collapsed="false">
      <c r="B141" s="63" t="s">
        <v>595</v>
      </c>
      <c r="C141" s="62" t="s">
        <v>641</v>
      </c>
    </row>
    <row r="142" customFormat="false" ht="15" hidden="false" customHeight="true" outlineLevel="0" collapsed="false">
      <c r="B142" s="36"/>
      <c r="C142" s="62"/>
    </row>
    <row r="143" customFormat="false" ht="15" hidden="false" customHeight="true" outlineLevel="0" collapsed="false">
      <c r="B143" s="63" t="s">
        <v>597</v>
      </c>
      <c r="C143" s="62"/>
    </row>
    <row r="144" customFormat="false" ht="15" hidden="false" customHeight="true" outlineLevel="0" collapsed="false">
      <c r="B144" s="34" t="s">
        <v>168</v>
      </c>
      <c r="C144" s="64" t="s">
        <v>642</v>
      </c>
    </row>
    <row r="145" customFormat="false" ht="15" hidden="false" customHeight="true" outlineLevel="0" collapsed="false">
      <c r="B145" s="34" t="s">
        <v>169</v>
      </c>
      <c r="C145" s="64" t="s">
        <v>643</v>
      </c>
    </row>
    <row r="146" customFormat="false" ht="15" hidden="false" customHeight="true" outlineLevel="0" collapsed="false">
      <c r="B146" s="36"/>
      <c r="C146" s="62"/>
    </row>
    <row r="147" customFormat="false" ht="15" hidden="false" customHeight="true" outlineLevel="0" collapsed="false">
      <c r="B147" s="63" t="s">
        <v>600</v>
      </c>
      <c r="C147" s="62"/>
    </row>
    <row r="148" customFormat="false" ht="23.25" hidden="false" customHeight="true" outlineLevel="0" collapsed="false">
      <c r="B148" s="36"/>
      <c r="C148" s="62" t="s">
        <v>601</v>
      </c>
    </row>
    <row r="149" customFormat="false" ht="23.25" hidden="false" customHeight="true" outlineLevel="0" collapsed="false">
      <c r="B149" s="36"/>
      <c r="C149" s="62" t="s">
        <v>602</v>
      </c>
    </row>
    <row r="150" customFormat="false" ht="23.25" hidden="false" customHeight="true" outlineLevel="0" collapsed="false">
      <c r="B150" s="36"/>
      <c r="C150" s="62" t="s">
        <v>603</v>
      </c>
    </row>
    <row r="151" customFormat="false" ht="23.25" hidden="false" customHeight="true" outlineLevel="0" collapsed="false">
      <c r="B151" s="36"/>
      <c r="C151" s="62" t="s">
        <v>604</v>
      </c>
    </row>
    <row r="152" customFormat="false" ht="23.25" hidden="false" customHeight="true" outlineLevel="0" collapsed="false">
      <c r="B152" s="36"/>
      <c r="C152" s="62" t="s">
        <v>605</v>
      </c>
    </row>
    <row r="153" customFormat="false" ht="23.25" hidden="false" customHeight="true" outlineLevel="0" collapsed="false">
      <c r="B153" s="36"/>
      <c r="C153" s="62" t="s">
        <v>606</v>
      </c>
    </row>
    <row r="154" customFormat="false" ht="15" hidden="false" customHeight="true" outlineLevel="0" collapsed="false">
      <c r="B154" s="36"/>
      <c r="C154" s="62" t="s">
        <v>607</v>
      </c>
    </row>
    <row r="155" customFormat="false" ht="23.25" hidden="false" customHeight="true" outlineLevel="0" collapsed="false">
      <c r="B155" s="36"/>
      <c r="C155" s="62" t="s">
        <v>608</v>
      </c>
    </row>
    <row r="156" customFormat="false" ht="23.25" hidden="false" customHeight="true" outlineLevel="0" collapsed="false">
      <c r="B156" s="36"/>
      <c r="C156" s="62" t="s">
        <v>609</v>
      </c>
    </row>
    <row r="157" customFormat="false" ht="15" hidden="false" customHeight="true" outlineLevel="0" collapsed="false">
      <c r="B157" s="36"/>
      <c r="C157" s="62"/>
    </row>
    <row r="159" customFormat="false" ht="15" hidden="false" customHeight="true" outlineLevel="0" collapsed="false">
      <c r="B159" s="61" t="s">
        <v>644</v>
      </c>
      <c r="C159" s="61"/>
    </row>
    <row r="160" customFormat="false" ht="15" hidden="false" customHeight="true" outlineLevel="0" collapsed="false">
      <c r="B160" s="34" t="s">
        <v>217</v>
      </c>
      <c r="C160" s="62" t="s">
        <v>266</v>
      </c>
    </row>
    <row r="161" customFormat="false" ht="15" hidden="false" customHeight="true" outlineLevel="0" collapsed="false">
      <c r="B161" s="34" t="s">
        <v>184</v>
      </c>
      <c r="C161" s="62" t="s">
        <v>645</v>
      </c>
    </row>
    <row r="162" customFormat="false" ht="15" hidden="false" customHeight="true" outlineLevel="0" collapsed="false">
      <c r="B162" s="34" t="s">
        <v>587</v>
      </c>
      <c r="C162" s="62" t="s">
        <v>636</v>
      </c>
    </row>
    <row r="163" customFormat="false" ht="34.5" hidden="false" customHeight="true" outlineLevel="0" collapsed="false">
      <c r="B163" s="34" t="s">
        <v>220</v>
      </c>
      <c r="C163" s="62" t="s">
        <v>267</v>
      </c>
    </row>
    <row r="164" customFormat="false" ht="15" hidden="false" customHeight="true" outlineLevel="0" collapsed="false">
      <c r="B164" s="34" t="s">
        <v>589</v>
      </c>
      <c r="C164" s="62" t="s">
        <v>230</v>
      </c>
    </row>
    <row r="165" customFormat="false" ht="34.5" hidden="false" customHeight="true" outlineLevel="0" collapsed="false">
      <c r="B165" s="34" t="s">
        <v>223</v>
      </c>
      <c r="C165" s="62" t="s">
        <v>646</v>
      </c>
    </row>
    <row r="166" customFormat="false" ht="23.25" hidden="false" customHeight="true" outlineLevel="0" collapsed="false">
      <c r="B166" s="34" t="s">
        <v>224</v>
      </c>
      <c r="C166" s="62" t="s">
        <v>647</v>
      </c>
    </row>
    <row r="167" customFormat="false" ht="34.5" hidden="false" customHeight="true" outlineLevel="0" collapsed="false">
      <c r="B167" s="34" t="s">
        <v>225</v>
      </c>
      <c r="C167" s="62" t="s">
        <v>648</v>
      </c>
    </row>
    <row r="168" customFormat="false" ht="15" hidden="false" customHeight="true" outlineLevel="0" collapsed="false">
      <c r="B168" s="34" t="s">
        <v>226</v>
      </c>
      <c r="C168" s="62" t="s">
        <v>271</v>
      </c>
    </row>
    <row r="169" customFormat="false" ht="15" hidden="false" customHeight="true" outlineLevel="0" collapsed="false">
      <c r="B169" s="36"/>
      <c r="C169" s="62"/>
    </row>
    <row r="170" customFormat="false" ht="34.5" hidden="false" customHeight="true" outlineLevel="0" collapsed="false">
      <c r="B170" s="63" t="s">
        <v>593</v>
      </c>
      <c r="C170" s="62" t="s">
        <v>553</v>
      </c>
    </row>
    <row r="171" customFormat="false" ht="45.75" hidden="false" customHeight="true" outlineLevel="0" collapsed="false">
      <c r="B171" s="63" t="s">
        <v>594</v>
      </c>
      <c r="C171" s="62" t="s">
        <v>556</v>
      </c>
    </row>
    <row r="172" customFormat="false" ht="23.25" hidden="false" customHeight="true" outlineLevel="0" collapsed="false">
      <c r="B172" s="63" t="s">
        <v>595</v>
      </c>
      <c r="C172" s="62" t="s">
        <v>641</v>
      </c>
    </row>
    <row r="173" customFormat="false" ht="15" hidden="false" customHeight="true" outlineLevel="0" collapsed="false">
      <c r="B173" s="36"/>
      <c r="C173" s="62"/>
    </row>
    <row r="174" customFormat="false" ht="15" hidden="false" customHeight="true" outlineLevel="0" collapsed="false">
      <c r="B174" s="63" t="s">
        <v>597</v>
      </c>
      <c r="C174" s="62"/>
    </row>
    <row r="175" customFormat="false" ht="15" hidden="false" customHeight="true" outlineLevel="0" collapsed="false">
      <c r="B175" s="34" t="s">
        <v>168</v>
      </c>
      <c r="C175" s="64" t="s">
        <v>649</v>
      </c>
    </row>
    <row r="176" customFormat="false" ht="15" hidden="false" customHeight="true" outlineLevel="0" collapsed="false">
      <c r="B176" s="34" t="s">
        <v>169</v>
      </c>
      <c r="C176" s="64" t="s">
        <v>650</v>
      </c>
    </row>
    <row r="177" customFormat="false" ht="15" hidden="false" customHeight="true" outlineLevel="0" collapsed="false">
      <c r="B177" s="36"/>
      <c r="C177" s="62"/>
    </row>
    <row r="178" customFormat="false" ht="15" hidden="false" customHeight="true" outlineLevel="0" collapsed="false">
      <c r="B178" s="63" t="s">
        <v>600</v>
      </c>
      <c r="C178" s="62"/>
    </row>
    <row r="179" customFormat="false" ht="23.25" hidden="false" customHeight="true" outlineLevel="0" collapsed="false">
      <c r="B179" s="36"/>
      <c r="C179" s="62" t="s">
        <v>601</v>
      </c>
    </row>
    <row r="180" customFormat="false" ht="23.25" hidden="false" customHeight="true" outlineLevel="0" collapsed="false">
      <c r="B180" s="36"/>
      <c r="C180" s="62" t="s">
        <v>602</v>
      </c>
    </row>
    <row r="181" customFormat="false" ht="23.25" hidden="false" customHeight="true" outlineLevel="0" collapsed="false">
      <c r="B181" s="36"/>
      <c r="C181" s="62" t="s">
        <v>603</v>
      </c>
    </row>
    <row r="182" customFormat="false" ht="23.25" hidden="false" customHeight="true" outlineLevel="0" collapsed="false">
      <c r="B182" s="36"/>
      <c r="C182" s="62" t="s">
        <v>604</v>
      </c>
    </row>
    <row r="183" customFormat="false" ht="23.25" hidden="false" customHeight="true" outlineLevel="0" collapsed="false">
      <c r="B183" s="36"/>
      <c r="C183" s="62" t="s">
        <v>605</v>
      </c>
    </row>
    <row r="184" customFormat="false" ht="23.25" hidden="false" customHeight="true" outlineLevel="0" collapsed="false">
      <c r="B184" s="36"/>
      <c r="C184" s="62" t="s">
        <v>606</v>
      </c>
    </row>
    <row r="185" customFormat="false" ht="15" hidden="false" customHeight="true" outlineLevel="0" collapsed="false">
      <c r="B185" s="36"/>
      <c r="C185" s="62" t="s">
        <v>607</v>
      </c>
    </row>
    <row r="186" customFormat="false" ht="23.25" hidden="false" customHeight="true" outlineLevel="0" collapsed="false">
      <c r="B186" s="36"/>
      <c r="C186" s="62" t="s">
        <v>608</v>
      </c>
    </row>
    <row r="187" customFormat="false" ht="23.25" hidden="false" customHeight="true" outlineLevel="0" collapsed="false">
      <c r="B187" s="36"/>
      <c r="C187" s="62" t="s">
        <v>609</v>
      </c>
    </row>
    <row r="188" customFormat="false" ht="15" hidden="false" customHeight="true" outlineLevel="0" collapsed="false">
      <c r="B188" s="36"/>
      <c r="C188" s="62"/>
    </row>
    <row r="190" customFormat="false" ht="15" hidden="false" customHeight="true" outlineLevel="0" collapsed="false">
      <c r="B190" s="61" t="s">
        <v>651</v>
      </c>
      <c r="C190" s="61"/>
    </row>
    <row r="191" customFormat="false" ht="15" hidden="false" customHeight="true" outlineLevel="0" collapsed="false">
      <c r="B191" s="34" t="s">
        <v>217</v>
      </c>
      <c r="C191" s="62" t="s">
        <v>273</v>
      </c>
    </row>
    <row r="192" customFormat="false" ht="15" hidden="false" customHeight="true" outlineLevel="0" collapsed="false">
      <c r="B192" s="34" t="s">
        <v>184</v>
      </c>
      <c r="C192" s="62" t="s">
        <v>652</v>
      </c>
    </row>
    <row r="193" customFormat="false" ht="15" hidden="false" customHeight="true" outlineLevel="0" collapsed="false">
      <c r="B193" s="34" t="s">
        <v>587</v>
      </c>
      <c r="C193" s="62" t="s">
        <v>653</v>
      </c>
    </row>
    <row r="194" customFormat="false" ht="45.75" hidden="false" customHeight="true" outlineLevel="0" collapsed="false">
      <c r="B194" s="34" t="s">
        <v>220</v>
      </c>
      <c r="C194" s="62" t="s">
        <v>274</v>
      </c>
    </row>
    <row r="195" customFormat="false" ht="15" hidden="false" customHeight="true" outlineLevel="0" collapsed="false">
      <c r="B195" s="34" t="s">
        <v>589</v>
      </c>
      <c r="C195" s="62" t="s">
        <v>230</v>
      </c>
    </row>
    <row r="196" customFormat="false" ht="34.5" hidden="false" customHeight="true" outlineLevel="0" collapsed="false">
      <c r="B196" s="34" t="s">
        <v>223</v>
      </c>
      <c r="C196" s="62" t="s">
        <v>654</v>
      </c>
    </row>
    <row r="197" customFormat="false" ht="23.25" hidden="false" customHeight="true" outlineLevel="0" collapsed="false">
      <c r="B197" s="34" t="s">
        <v>224</v>
      </c>
      <c r="C197" s="62" t="s">
        <v>655</v>
      </c>
    </row>
    <row r="198" customFormat="false" ht="34.5" hidden="false" customHeight="true" outlineLevel="0" collapsed="false">
      <c r="B198" s="34" t="s">
        <v>225</v>
      </c>
      <c r="C198" s="62" t="s">
        <v>656</v>
      </c>
    </row>
    <row r="199" customFormat="false" ht="23.25" hidden="false" customHeight="true" outlineLevel="0" collapsed="false">
      <c r="B199" s="34" t="s">
        <v>226</v>
      </c>
      <c r="C199" s="62" t="s">
        <v>657</v>
      </c>
    </row>
    <row r="200" customFormat="false" ht="15" hidden="false" customHeight="true" outlineLevel="0" collapsed="false">
      <c r="B200" s="36"/>
      <c r="C200" s="62"/>
    </row>
    <row r="201" customFormat="false" ht="34.5" hidden="false" customHeight="true" outlineLevel="0" collapsed="false">
      <c r="B201" s="63" t="s">
        <v>593</v>
      </c>
      <c r="C201" s="62" t="s">
        <v>553</v>
      </c>
    </row>
    <row r="202" customFormat="false" ht="45.75" hidden="false" customHeight="true" outlineLevel="0" collapsed="false">
      <c r="B202" s="63" t="s">
        <v>594</v>
      </c>
      <c r="C202" s="62" t="s">
        <v>556</v>
      </c>
    </row>
    <row r="203" customFormat="false" ht="23.25" hidden="false" customHeight="true" outlineLevel="0" collapsed="false">
      <c r="B203" s="63" t="s">
        <v>595</v>
      </c>
      <c r="C203" s="62" t="s">
        <v>641</v>
      </c>
    </row>
    <row r="204" customFormat="false" ht="15" hidden="false" customHeight="true" outlineLevel="0" collapsed="false">
      <c r="B204" s="36"/>
      <c r="C204" s="62"/>
    </row>
    <row r="205" customFormat="false" ht="15" hidden="false" customHeight="true" outlineLevel="0" collapsed="false">
      <c r="B205" s="63" t="s">
        <v>597</v>
      </c>
      <c r="C205" s="62"/>
    </row>
    <row r="206" customFormat="false" ht="15" hidden="false" customHeight="true" outlineLevel="0" collapsed="false">
      <c r="B206" s="34" t="s">
        <v>168</v>
      </c>
      <c r="C206" s="64" t="s">
        <v>649</v>
      </c>
    </row>
    <row r="207" customFormat="false" ht="15" hidden="false" customHeight="true" outlineLevel="0" collapsed="false">
      <c r="B207" s="34" t="s">
        <v>169</v>
      </c>
      <c r="C207" s="64" t="s">
        <v>650</v>
      </c>
    </row>
    <row r="208" customFormat="false" ht="15" hidden="false" customHeight="true" outlineLevel="0" collapsed="false">
      <c r="B208" s="36"/>
      <c r="C208" s="62"/>
    </row>
    <row r="209" customFormat="false" ht="15" hidden="false" customHeight="true" outlineLevel="0" collapsed="false">
      <c r="B209" s="63" t="s">
        <v>600</v>
      </c>
      <c r="C209" s="62"/>
    </row>
    <row r="210" customFormat="false" ht="23.25" hidden="false" customHeight="true" outlineLevel="0" collapsed="false">
      <c r="B210" s="36"/>
      <c r="C210" s="62" t="s">
        <v>601</v>
      </c>
    </row>
    <row r="211" customFormat="false" ht="23.25" hidden="false" customHeight="true" outlineLevel="0" collapsed="false">
      <c r="B211" s="36"/>
      <c r="C211" s="62" t="s">
        <v>602</v>
      </c>
    </row>
    <row r="212" customFormat="false" ht="23.25" hidden="false" customHeight="true" outlineLevel="0" collapsed="false">
      <c r="B212" s="36"/>
      <c r="C212" s="62" t="s">
        <v>603</v>
      </c>
    </row>
    <row r="213" customFormat="false" ht="23.25" hidden="false" customHeight="true" outlineLevel="0" collapsed="false">
      <c r="B213" s="36"/>
      <c r="C213" s="62" t="s">
        <v>604</v>
      </c>
    </row>
    <row r="214" customFormat="false" ht="23.25" hidden="false" customHeight="true" outlineLevel="0" collapsed="false">
      <c r="B214" s="36"/>
      <c r="C214" s="62" t="s">
        <v>605</v>
      </c>
    </row>
    <row r="215" customFormat="false" ht="23.25" hidden="false" customHeight="true" outlineLevel="0" collapsed="false">
      <c r="B215" s="36"/>
      <c r="C215" s="62" t="s">
        <v>606</v>
      </c>
    </row>
    <row r="216" customFormat="false" ht="15" hidden="false" customHeight="true" outlineLevel="0" collapsed="false">
      <c r="B216" s="36"/>
      <c r="C216" s="62" t="s">
        <v>607</v>
      </c>
    </row>
    <row r="217" customFormat="false" ht="23.25" hidden="false" customHeight="true" outlineLevel="0" collapsed="false">
      <c r="B217" s="36"/>
      <c r="C217" s="62" t="s">
        <v>608</v>
      </c>
    </row>
    <row r="218" customFormat="false" ht="23.25" hidden="false" customHeight="true" outlineLevel="0" collapsed="false">
      <c r="B218" s="36"/>
      <c r="C218" s="62" t="s">
        <v>609</v>
      </c>
    </row>
    <row r="219" customFormat="false" ht="15" hidden="false" customHeight="true" outlineLevel="0" collapsed="false">
      <c r="B219" s="36"/>
      <c r="C219" s="62"/>
    </row>
    <row r="221" customFormat="false" ht="15" hidden="false" customHeight="true" outlineLevel="0" collapsed="false">
      <c r="B221" s="61" t="s">
        <v>658</v>
      </c>
      <c r="C221" s="61"/>
    </row>
    <row r="222" customFormat="false" ht="15" hidden="false" customHeight="true" outlineLevel="0" collapsed="false">
      <c r="B222" s="34" t="s">
        <v>217</v>
      </c>
      <c r="C222" s="62" t="s">
        <v>280</v>
      </c>
    </row>
    <row r="223" customFormat="false" ht="15" hidden="false" customHeight="true" outlineLevel="0" collapsed="false">
      <c r="B223" s="34" t="s">
        <v>184</v>
      </c>
      <c r="C223" s="62" t="s">
        <v>659</v>
      </c>
    </row>
    <row r="224" customFormat="false" ht="15" hidden="false" customHeight="true" outlineLevel="0" collapsed="false">
      <c r="B224" s="34" t="s">
        <v>587</v>
      </c>
      <c r="C224" s="62" t="s">
        <v>660</v>
      </c>
    </row>
    <row r="225" customFormat="false" ht="15" hidden="false" customHeight="true" outlineLevel="0" collapsed="false">
      <c r="B225" s="34" t="s">
        <v>220</v>
      </c>
      <c r="C225" s="62" t="s">
        <v>281</v>
      </c>
    </row>
    <row r="226" customFormat="false" ht="15" hidden="false" customHeight="true" outlineLevel="0" collapsed="false">
      <c r="B226" s="34" t="s">
        <v>589</v>
      </c>
      <c r="C226" s="62" t="s">
        <v>230</v>
      </c>
    </row>
    <row r="227" customFormat="false" ht="34.5" hidden="false" customHeight="true" outlineLevel="0" collapsed="false">
      <c r="B227" s="34" t="s">
        <v>223</v>
      </c>
      <c r="C227" s="62" t="s">
        <v>661</v>
      </c>
    </row>
    <row r="228" customFormat="false" ht="15" hidden="false" customHeight="true" outlineLevel="0" collapsed="false">
      <c r="B228" s="34" t="s">
        <v>224</v>
      </c>
      <c r="C228" s="62" t="s">
        <v>283</v>
      </c>
    </row>
    <row r="229" customFormat="false" ht="34.5" hidden="false" customHeight="true" outlineLevel="0" collapsed="false">
      <c r="B229" s="34" t="s">
        <v>225</v>
      </c>
      <c r="C229" s="62" t="s">
        <v>662</v>
      </c>
    </row>
    <row r="230" customFormat="false" ht="23.25" hidden="false" customHeight="true" outlineLevel="0" collapsed="false">
      <c r="B230" s="34" t="s">
        <v>226</v>
      </c>
      <c r="C230" s="62" t="s">
        <v>663</v>
      </c>
    </row>
    <row r="231" customFormat="false" ht="15" hidden="false" customHeight="true" outlineLevel="0" collapsed="false">
      <c r="B231" s="36"/>
      <c r="C231" s="62"/>
    </row>
    <row r="232" customFormat="false" ht="34.5" hidden="false" customHeight="true" outlineLevel="0" collapsed="false">
      <c r="B232" s="63" t="s">
        <v>593</v>
      </c>
      <c r="C232" s="62" t="s">
        <v>553</v>
      </c>
    </row>
    <row r="233" customFormat="false" ht="45.75" hidden="false" customHeight="true" outlineLevel="0" collapsed="false">
      <c r="B233" s="63" t="s">
        <v>594</v>
      </c>
      <c r="C233" s="62" t="s">
        <v>556</v>
      </c>
    </row>
    <row r="234" customFormat="false" ht="23.25" hidden="false" customHeight="true" outlineLevel="0" collapsed="false">
      <c r="B234" s="63" t="s">
        <v>595</v>
      </c>
      <c r="C234" s="62" t="s">
        <v>641</v>
      </c>
    </row>
    <row r="235" customFormat="false" ht="15" hidden="false" customHeight="true" outlineLevel="0" collapsed="false">
      <c r="B235" s="36"/>
      <c r="C235" s="62"/>
    </row>
    <row r="236" customFormat="false" ht="15" hidden="false" customHeight="true" outlineLevel="0" collapsed="false">
      <c r="B236" s="63" t="s">
        <v>597</v>
      </c>
      <c r="C236" s="62"/>
    </row>
    <row r="237" customFormat="false" ht="15" hidden="false" customHeight="true" outlineLevel="0" collapsed="false">
      <c r="B237" s="34" t="s">
        <v>168</v>
      </c>
      <c r="C237" s="64" t="s">
        <v>664</v>
      </c>
    </row>
    <row r="238" customFormat="false" ht="15" hidden="false" customHeight="true" outlineLevel="0" collapsed="false">
      <c r="B238" s="34" t="s">
        <v>169</v>
      </c>
      <c r="C238" s="64" t="s">
        <v>665</v>
      </c>
    </row>
    <row r="239" customFormat="false" ht="15" hidden="false" customHeight="true" outlineLevel="0" collapsed="false">
      <c r="B239" s="36"/>
      <c r="C239" s="62"/>
    </row>
    <row r="240" customFormat="false" ht="15" hidden="false" customHeight="true" outlineLevel="0" collapsed="false">
      <c r="B240" s="63" t="s">
        <v>600</v>
      </c>
      <c r="C240" s="62"/>
    </row>
    <row r="241" customFormat="false" ht="23.25" hidden="false" customHeight="true" outlineLevel="0" collapsed="false">
      <c r="B241" s="36"/>
      <c r="C241" s="62" t="s">
        <v>601</v>
      </c>
    </row>
    <row r="242" customFormat="false" ht="23.25" hidden="false" customHeight="true" outlineLevel="0" collapsed="false">
      <c r="B242" s="36"/>
      <c r="C242" s="62" t="s">
        <v>602</v>
      </c>
    </row>
    <row r="243" customFormat="false" ht="23.25" hidden="false" customHeight="true" outlineLevel="0" collapsed="false">
      <c r="B243" s="36"/>
      <c r="C243" s="62" t="s">
        <v>603</v>
      </c>
    </row>
    <row r="244" customFormat="false" ht="23.25" hidden="false" customHeight="true" outlineLevel="0" collapsed="false">
      <c r="B244" s="36"/>
      <c r="C244" s="62" t="s">
        <v>604</v>
      </c>
    </row>
    <row r="245" customFormat="false" ht="23.25" hidden="false" customHeight="true" outlineLevel="0" collapsed="false">
      <c r="B245" s="36"/>
      <c r="C245" s="62" t="s">
        <v>605</v>
      </c>
    </row>
    <row r="246" customFormat="false" ht="23.25" hidden="false" customHeight="true" outlineLevel="0" collapsed="false">
      <c r="B246" s="36"/>
      <c r="C246" s="62" t="s">
        <v>606</v>
      </c>
    </row>
    <row r="247" customFormat="false" ht="15" hidden="false" customHeight="true" outlineLevel="0" collapsed="false">
      <c r="B247" s="36"/>
      <c r="C247" s="62" t="s">
        <v>607</v>
      </c>
    </row>
    <row r="248" customFormat="false" ht="23.25" hidden="false" customHeight="true" outlineLevel="0" collapsed="false">
      <c r="B248" s="36"/>
      <c r="C248" s="62" t="s">
        <v>608</v>
      </c>
    </row>
    <row r="249" customFormat="false" ht="23.25" hidden="false" customHeight="true" outlineLevel="0" collapsed="false">
      <c r="B249" s="36"/>
      <c r="C249" s="62" t="s">
        <v>609</v>
      </c>
    </row>
    <row r="250" customFormat="false" ht="15" hidden="false" customHeight="true" outlineLevel="0" collapsed="false">
      <c r="B250" s="36"/>
      <c r="C250" s="62"/>
    </row>
    <row r="252" customFormat="false" ht="15" hidden="false" customHeight="true" outlineLevel="0" collapsed="false">
      <c r="B252" s="61" t="s">
        <v>666</v>
      </c>
      <c r="C252" s="61"/>
    </row>
    <row r="253" customFormat="false" ht="15" hidden="false" customHeight="true" outlineLevel="0" collapsed="false">
      <c r="B253" s="34" t="s">
        <v>217</v>
      </c>
      <c r="C253" s="62" t="s">
        <v>287</v>
      </c>
    </row>
    <row r="254" customFormat="false" ht="15" hidden="false" customHeight="true" outlineLevel="0" collapsed="false">
      <c r="B254" s="34" t="s">
        <v>184</v>
      </c>
      <c r="C254" s="62" t="s">
        <v>667</v>
      </c>
    </row>
    <row r="255" customFormat="false" ht="15" hidden="false" customHeight="true" outlineLevel="0" collapsed="false">
      <c r="B255" s="34" t="s">
        <v>587</v>
      </c>
      <c r="C255" s="62" t="s">
        <v>668</v>
      </c>
    </row>
    <row r="256" customFormat="false" ht="45.75" hidden="false" customHeight="true" outlineLevel="0" collapsed="false">
      <c r="B256" s="34" t="s">
        <v>220</v>
      </c>
      <c r="C256" s="62" t="s">
        <v>288</v>
      </c>
    </row>
    <row r="257" customFormat="false" ht="15" hidden="false" customHeight="true" outlineLevel="0" collapsed="false">
      <c r="B257" s="34" t="s">
        <v>589</v>
      </c>
      <c r="C257" s="62" t="s">
        <v>289</v>
      </c>
    </row>
    <row r="258" customFormat="false" ht="34.5" hidden="false" customHeight="true" outlineLevel="0" collapsed="false">
      <c r="B258" s="34" t="s">
        <v>223</v>
      </c>
      <c r="C258" s="62" t="s">
        <v>669</v>
      </c>
    </row>
    <row r="259" customFormat="false" ht="34.5" hidden="false" customHeight="true" outlineLevel="0" collapsed="false">
      <c r="B259" s="34" t="s">
        <v>224</v>
      </c>
      <c r="C259" s="62" t="s">
        <v>670</v>
      </c>
    </row>
    <row r="260" customFormat="false" ht="34.5" hidden="false" customHeight="true" outlineLevel="0" collapsed="false">
      <c r="B260" s="34" t="s">
        <v>225</v>
      </c>
      <c r="C260" s="62" t="s">
        <v>671</v>
      </c>
    </row>
    <row r="261" customFormat="false" ht="23.25" hidden="false" customHeight="true" outlineLevel="0" collapsed="false">
      <c r="B261" s="34" t="s">
        <v>226</v>
      </c>
      <c r="C261" s="62" t="s">
        <v>672</v>
      </c>
    </row>
    <row r="262" customFormat="false" ht="15" hidden="false" customHeight="true" outlineLevel="0" collapsed="false">
      <c r="B262" s="36"/>
      <c r="C262" s="62"/>
    </row>
    <row r="263" customFormat="false" ht="34.5" hidden="false" customHeight="true" outlineLevel="0" collapsed="false">
      <c r="B263" s="63" t="s">
        <v>593</v>
      </c>
      <c r="C263" s="62" t="s">
        <v>553</v>
      </c>
    </row>
    <row r="264" customFormat="false" ht="57" hidden="false" customHeight="true" outlineLevel="0" collapsed="false">
      <c r="B264" s="63" t="s">
        <v>594</v>
      </c>
      <c r="C264" s="62" t="s">
        <v>554</v>
      </c>
    </row>
    <row r="265" customFormat="false" ht="23.25" hidden="false" customHeight="true" outlineLevel="0" collapsed="false">
      <c r="B265" s="63" t="s">
        <v>595</v>
      </c>
      <c r="C265" s="62" t="s">
        <v>596</v>
      </c>
    </row>
    <row r="266" customFormat="false" ht="15" hidden="false" customHeight="true" outlineLevel="0" collapsed="false">
      <c r="B266" s="36"/>
      <c r="C266" s="62"/>
    </row>
    <row r="267" customFormat="false" ht="15" hidden="false" customHeight="true" outlineLevel="0" collapsed="false">
      <c r="B267" s="63" t="s">
        <v>597</v>
      </c>
      <c r="C267" s="62"/>
    </row>
    <row r="268" customFormat="false" ht="15" hidden="false" customHeight="true" outlineLevel="0" collapsed="false">
      <c r="B268" s="34" t="s">
        <v>168</v>
      </c>
      <c r="C268" s="64" t="s">
        <v>626</v>
      </c>
    </row>
    <row r="269" customFormat="false" ht="15" hidden="false" customHeight="true" outlineLevel="0" collapsed="false">
      <c r="B269" s="34" t="s">
        <v>169</v>
      </c>
      <c r="C269" s="64" t="s">
        <v>627</v>
      </c>
    </row>
    <row r="270" customFormat="false" ht="15" hidden="false" customHeight="true" outlineLevel="0" collapsed="false">
      <c r="B270" s="36"/>
      <c r="C270" s="62"/>
    </row>
    <row r="271" customFormat="false" ht="15" hidden="false" customHeight="true" outlineLevel="0" collapsed="false">
      <c r="B271" s="63" t="s">
        <v>600</v>
      </c>
      <c r="C271" s="62"/>
    </row>
    <row r="272" customFormat="false" ht="23.25" hidden="false" customHeight="true" outlineLevel="0" collapsed="false">
      <c r="B272" s="36"/>
      <c r="C272" s="62" t="s">
        <v>601</v>
      </c>
    </row>
    <row r="273" customFormat="false" ht="23.25" hidden="false" customHeight="true" outlineLevel="0" collapsed="false">
      <c r="B273" s="36"/>
      <c r="C273" s="62" t="s">
        <v>602</v>
      </c>
    </row>
    <row r="274" customFormat="false" ht="15" hidden="false" customHeight="true" outlineLevel="0" collapsed="false">
      <c r="B274" s="36"/>
      <c r="C274" s="62" t="s">
        <v>673</v>
      </c>
    </row>
    <row r="275" customFormat="false" ht="23.25" hidden="false" customHeight="true" outlineLevel="0" collapsed="false">
      <c r="B275" s="36"/>
      <c r="C275" s="62" t="s">
        <v>604</v>
      </c>
    </row>
    <row r="276" customFormat="false" ht="23.25" hidden="false" customHeight="true" outlineLevel="0" collapsed="false">
      <c r="B276" s="36"/>
      <c r="C276" s="62" t="s">
        <v>605</v>
      </c>
    </row>
    <row r="277" customFormat="false" ht="23.25" hidden="false" customHeight="true" outlineLevel="0" collapsed="false">
      <c r="B277" s="36"/>
      <c r="C277" s="62" t="s">
        <v>606</v>
      </c>
    </row>
    <row r="278" customFormat="false" ht="15" hidden="false" customHeight="true" outlineLevel="0" collapsed="false">
      <c r="B278" s="36"/>
      <c r="C278" s="62" t="s">
        <v>607</v>
      </c>
    </row>
    <row r="279" customFormat="false" ht="23.25" hidden="false" customHeight="true" outlineLevel="0" collapsed="false">
      <c r="B279" s="36"/>
      <c r="C279" s="62" t="s">
        <v>608</v>
      </c>
    </row>
    <row r="280" customFormat="false" ht="23.25" hidden="false" customHeight="true" outlineLevel="0" collapsed="false">
      <c r="B280" s="36"/>
      <c r="C280" s="62" t="s">
        <v>609</v>
      </c>
    </row>
    <row r="281" customFormat="false" ht="15" hidden="false" customHeight="true" outlineLevel="0" collapsed="false">
      <c r="B281" s="36"/>
      <c r="C281" s="62"/>
    </row>
    <row r="283" customFormat="false" ht="15" hidden="false" customHeight="true" outlineLevel="0" collapsed="false">
      <c r="B283" s="61" t="s">
        <v>674</v>
      </c>
      <c r="C283" s="61"/>
    </row>
    <row r="284" customFormat="false" ht="15" hidden="false" customHeight="true" outlineLevel="0" collapsed="false">
      <c r="B284" s="34" t="s">
        <v>217</v>
      </c>
      <c r="C284" s="62" t="s">
        <v>295</v>
      </c>
    </row>
    <row r="285" customFormat="false" ht="15" hidden="false" customHeight="true" outlineLevel="0" collapsed="false">
      <c r="B285" s="34" t="s">
        <v>184</v>
      </c>
      <c r="C285" s="62" t="s">
        <v>675</v>
      </c>
    </row>
    <row r="286" customFormat="false" ht="15" hidden="false" customHeight="true" outlineLevel="0" collapsed="false">
      <c r="B286" s="34" t="s">
        <v>587</v>
      </c>
      <c r="C286" s="62" t="s">
        <v>676</v>
      </c>
    </row>
    <row r="287" customFormat="false" ht="15" hidden="false" customHeight="true" outlineLevel="0" collapsed="false">
      <c r="B287" s="34" t="s">
        <v>220</v>
      </c>
      <c r="C287" s="62" t="s">
        <v>296</v>
      </c>
    </row>
    <row r="288" customFormat="false" ht="15" hidden="false" customHeight="true" outlineLevel="0" collapsed="false">
      <c r="B288" s="34" t="s">
        <v>589</v>
      </c>
      <c r="C288" s="62" t="s">
        <v>289</v>
      </c>
    </row>
    <row r="289" customFormat="false" ht="34.5" hidden="false" customHeight="true" outlineLevel="0" collapsed="false">
      <c r="B289" s="34" t="s">
        <v>223</v>
      </c>
      <c r="C289" s="62" t="s">
        <v>677</v>
      </c>
    </row>
    <row r="290" customFormat="false" ht="23.25" hidden="false" customHeight="true" outlineLevel="0" collapsed="false">
      <c r="B290" s="34" t="s">
        <v>224</v>
      </c>
      <c r="C290" s="62" t="s">
        <v>678</v>
      </c>
    </row>
    <row r="291" customFormat="false" ht="23.25" hidden="false" customHeight="true" outlineLevel="0" collapsed="false">
      <c r="B291" s="34" t="s">
        <v>225</v>
      </c>
      <c r="C291" s="62" t="s">
        <v>679</v>
      </c>
    </row>
    <row r="292" customFormat="false" ht="23.25" hidden="false" customHeight="true" outlineLevel="0" collapsed="false">
      <c r="B292" s="34" t="s">
        <v>226</v>
      </c>
      <c r="C292" s="62" t="s">
        <v>300</v>
      </c>
    </row>
    <row r="293" customFormat="false" ht="15" hidden="false" customHeight="true" outlineLevel="0" collapsed="false">
      <c r="B293" s="36"/>
      <c r="C293" s="62"/>
    </row>
    <row r="294" customFormat="false" ht="34.5" hidden="false" customHeight="true" outlineLevel="0" collapsed="false">
      <c r="B294" s="63" t="s">
        <v>593</v>
      </c>
      <c r="C294" s="62" t="s">
        <v>553</v>
      </c>
    </row>
    <row r="295" customFormat="false" ht="57" hidden="false" customHeight="true" outlineLevel="0" collapsed="false">
      <c r="B295" s="63" t="s">
        <v>594</v>
      </c>
      <c r="C295" s="62" t="s">
        <v>554</v>
      </c>
    </row>
    <row r="296" customFormat="false" ht="23.25" hidden="false" customHeight="true" outlineLevel="0" collapsed="false">
      <c r="B296" s="63" t="s">
        <v>595</v>
      </c>
      <c r="C296" s="62" t="s">
        <v>596</v>
      </c>
    </row>
    <row r="297" customFormat="false" ht="15" hidden="false" customHeight="true" outlineLevel="0" collapsed="false">
      <c r="B297" s="36"/>
      <c r="C297" s="62"/>
    </row>
    <row r="298" customFormat="false" ht="15" hidden="false" customHeight="true" outlineLevel="0" collapsed="false">
      <c r="B298" s="63" t="s">
        <v>597</v>
      </c>
      <c r="C298" s="62"/>
    </row>
    <row r="299" customFormat="false" ht="15" hidden="false" customHeight="true" outlineLevel="0" collapsed="false">
      <c r="B299" s="34" t="s">
        <v>168</v>
      </c>
      <c r="C299" s="64" t="s">
        <v>626</v>
      </c>
    </row>
    <row r="300" customFormat="false" ht="15" hidden="false" customHeight="true" outlineLevel="0" collapsed="false">
      <c r="B300" s="34" t="s">
        <v>169</v>
      </c>
      <c r="C300" s="64" t="s">
        <v>627</v>
      </c>
    </row>
    <row r="301" customFormat="false" ht="15" hidden="false" customHeight="true" outlineLevel="0" collapsed="false">
      <c r="B301" s="36"/>
      <c r="C301" s="62"/>
    </row>
    <row r="302" customFormat="false" ht="15" hidden="false" customHeight="true" outlineLevel="0" collapsed="false">
      <c r="B302" s="63" t="s">
        <v>600</v>
      </c>
      <c r="C302" s="62"/>
    </row>
    <row r="303" customFormat="false" ht="23.25" hidden="false" customHeight="true" outlineLevel="0" collapsed="false">
      <c r="B303" s="36"/>
      <c r="C303" s="62" t="s">
        <v>680</v>
      </c>
    </row>
    <row r="304" customFormat="false" ht="15" hidden="false" customHeight="true" outlineLevel="0" collapsed="false">
      <c r="B304" s="36"/>
      <c r="C304" s="62" t="s">
        <v>681</v>
      </c>
    </row>
    <row r="305" customFormat="false" ht="23.25" hidden="false" customHeight="true" outlineLevel="0" collapsed="false">
      <c r="B305" s="36"/>
      <c r="C305" s="62" t="s">
        <v>682</v>
      </c>
    </row>
    <row r="306" customFormat="false" ht="23.25" hidden="false" customHeight="true" outlineLevel="0" collapsed="false">
      <c r="B306" s="36"/>
      <c r="C306" s="62" t="s">
        <v>683</v>
      </c>
    </row>
    <row r="307" customFormat="false" ht="23.25" hidden="false" customHeight="true" outlineLevel="0" collapsed="false">
      <c r="B307" s="36"/>
      <c r="C307" s="62" t="s">
        <v>684</v>
      </c>
    </row>
    <row r="308" customFormat="false" ht="15" hidden="false" customHeight="true" outlineLevel="0" collapsed="false">
      <c r="B308" s="36"/>
      <c r="C308" s="62" t="s">
        <v>685</v>
      </c>
    </row>
    <row r="309" customFormat="false" ht="23.25" hidden="false" customHeight="true" outlineLevel="0" collapsed="false">
      <c r="B309" s="36"/>
      <c r="C309" s="62" t="s">
        <v>686</v>
      </c>
    </row>
    <row r="310" customFormat="false" ht="23.25" hidden="false" customHeight="true" outlineLevel="0" collapsed="false">
      <c r="B310" s="36"/>
      <c r="C310" s="62" t="s">
        <v>687</v>
      </c>
    </row>
    <row r="311" customFormat="false" ht="15" hidden="false" customHeight="true" outlineLevel="0" collapsed="false">
      <c r="B311" s="36"/>
      <c r="C311" s="62"/>
    </row>
    <row r="313" customFormat="false" ht="15" hidden="false" customHeight="true" outlineLevel="0" collapsed="false">
      <c r="B313" s="61" t="s">
        <v>688</v>
      </c>
      <c r="C313" s="61"/>
    </row>
    <row r="314" customFormat="false" ht="15" hidden="false" customHeight="true" outlineLevel="0" collapsed="false">
      <c r="B314" s="34" t="s">
        <v>217</v>
      </c>
      <c r="C314" s="62" t="s">
        <v>302</v>
      </c>
    </row>
    <row r="315" customFormat="false" ht="15" hidden="false" customHeight="true" outlineLevel="0" collapsed="false">
      <c r="B315" s="34" t="s">
        <v>184</v>
      </c>
      <c r="C315" s="62" t="s">
        <v>689</v>
      </c>
    </row>
    <row r="316" customFormat="false" ht="15" hidden="false" customHeight="true" outlineLevel="0" collapsed="false">
      <c r="B316" s="34" t="s">
        <v>587</v>
      </c>
      <c r="C316" s="62" t="s">
        <v>630</v>
      </c>
    </row>
    <row r="317" customFormat="false" ht="15" hidden="false" customHeight="true" outlineLevel="0" collapsed="false">
      <c r="B317" s="34" t="s">
        <v>220</v>
      </c>
      <c r="C317" s="62" t="s">
        <v>303</v>
      </c>
    </row>
    <row r="318" customFormat="false" ht="15" hidden="false" customHeight="true" outlineLevel="0" collapsed="false">
      <c r="B318" s="34" t="s">
        <v>589</v>
      </c>
      <c r="C318" s="62" t="s">
        <v>289</v>
      </c>
    </row>
    <row r="319" customFormat="false" ht="34.5" hidden="false" customHeight="true" outlineLevel="0" collapsed="false">
      <c r="B319" s="34" t="s">
        <v>223</v>
      </c>
      <c r="C319" s="62" t="s">
        <v>690</v>
      </c>
    </row>
    <row r="320" customFormat="false" ht="23.25" hidden="false" customHeight="true" outlineLevel="0" collapsed="false">
      <c r="B320" s="34" t="s">
        <v>224</v>
      </c>
      <c r="C320" s="62" t="s">
        <v>691</v>
      </c>
    </row>
    <row r="321" customFormat="false" ht="23.25" hidden="false" customHeight="true" outlineLevel="0" collapsed="false">
      <c r="B321" s="34" t="s">
        <v>225</v>
      </c>
      <c r="C321" s="62" t="s">
        <v>692</v>
      </c>
    </row>
    <row r="322" customFormat="false" ht="15" hidden="false" customHeight="true" outlineLevel="0" collapsed="false">
      <c r="B322" s="34" t="s">
        <v>226</v>
      </c>
      <c r="C322" s="62" t="s">
        <v>307</v>
      </c>
    </row>
    <row r="323" customFormat="false" ht="15" hidden="false" customHeight="true" outlineLevel="0" collapsed="false">
      <c r="B323" s="36"/>
      <c r="C323" s="62"/>
    </row>
    <row r="324" customFormat="false" ht="34.5" hidden="false" customHeight="true" outlineLevel="0" collapsed="false">
      <c r="B324" s="63" t="s">
        <v>593</v>
      </c>
      <c r="C324" s="62" t="s">
        <v>553</v>
      </c>
    </row>
    <row r="325" customFormat="false" ht="57" hidden="false" customHeight="true" outlineLevel="0" collapsed="false">
      <c r="B325" s="63" t="s">
        <v>594</v>
      </c>
      <c r="C325" s="62" t="s">
        <v>554</v>
      </c>
    </row>
    <row r="326" customFormat="false" ht="23.25" hidden="false" customHeight="true" outlineLevel="0" collapsed="false">
      <c r="B326" s="63" t="s">
        <v>595</v>
      </c>
      <c r="C326" s="62" t="s">
        <v>596</v>
      </c>
    </row>
    <row r="327" customFormat="false" ht="15" hidden="false" customHeight="true" outlineLevel="0" collapsed="false">
      <c r="B327" s="36"/>
      <c r="C327" s="62"/>
    </row>
    <row r="328" customFormat="false" ht="15" hidden="false" customHeight="true" outlineLevel="0" collapsed="false">
      <c r="B328" s="63" t="s">
        <v>597</v>
      </c>
      <c r="C328" s="62"/>
    </row>
    <row r="329" customFormat="false" ht="15" hidden="false" customHeight="true" outlineLevel="0" collapsed="false">
      <c r="B329" s="34" t="s">
        <v>168</v>
      </c>
      <c r="C329" s="64" t="s">
        <v>626</v>
      </c>
    </row>
    <row r="330" customFormat="false" ht="15" hidden="false" customHeight="true" outlineLevel="0" collapsed="false">
      <c r="B330" s="34" t="s">
        <v>169</v>
      </c>
      <c r="C330" s="64" t="s">
        <v>627</v>
      </c>
    </row>
    <row r="331" customFormat="false" ht="15" hidden="false" customHeight="true" outlineLevel="0" collapsed="false">
      <c r="B331" s="36"/>
      <c r="C331" s="62"/>
    </row>
    <row r="332" customFormat="false" ht="15" hidden="false" customHeight="true" outlineLevel="0" collapsed="false">
      <c r="B332" s="63" t="s">
        <v>600</v>
      </c>
      <c r="C332" s="62"/>
    </row>
    <row r="333" customFormat="false" ht="23.25" hidden="false" customHeight="true" outlineLevel="0" collapsed="false">
      <c r="B333" s="36"/>
      <c r="C333" s="62" t="s">
        <v>680</v>
      </c>
    </row>
    <row r="334" customFormat="false" ht="15" hidden="false" customHeight="true" outlineLevel="0" collapsed="false">
      <c r="B334" s="36"/>
      <c r="C334" s="62" t="s">
        <v>681</v>
      </c>
    </row>
    <row r="335" customFormat="false" ht="23.25" hidden="false" customHeight="true" outlineLevel="0" collapsed="false">
      <c r="B335" s="36"/>
      <c r="C335" s="62" t="s">
        <v>682</v>
      </c>
    </row>
    <row r="336" customFormat="false" ht="23.25" hidden="false" customHeight="true" outlineLevel="0" collapsed="false">
      <c r="B336" s="36"/>
      <c r="C336" s="62" t="s">
        <v>683</v>
      </c>
    </row>
    <row r="337" customFormat="false" ht="23.25" hidden="false" customHeight="true" outlineLevel="0" collapsed="false">
      <c r="B337" s="36"/>
      <c r="C337" s="62" t="s">
        <v>684</v>
      </c>
    </row>
    <row r="338" customFormat="false" ht="15" hidden="false" customHeight="true" outlineLevel="0" collapsed="false">
      <c r="B338" s="36"/>
      <c r="C338" s="62" t="s">
        <v>685</v>
      </c>
    </row>
    <row r="339" customFormat="false" ht="23.25" hidden="false" customHeight="true" outlineLevel="0" collapsed="false">
      <c r="B339" s="36"/>
      <c r="C339" s="62" t="s">
        <v>686</v>
      </c>
    </row>
    <row r="340" customFormat="false" ht="23.25" hidden="false" customHeight="true" outlineLevel="0" collapsed="false">
      <c r="B340" s="36"/>
      <c r="C340" s="62" t="s">
        <v>687</v>
      </c>
    </row>
    <row r="341" customFormat="false" ht="15" hidden="false" customHeight="true" outlineLevel="0" collapsed="false">
      <c r="B341" s="36"/>
      <c r="C341" s="62"/>
    </row>
    <row r="343" customFormat="false" ht="15" hidden="false" customHeight="true" outlineLevel="0" collapsed="false">
      <c r="B343" s="61" t="s">
        <v>693</v>
      </c>
      <c r="C343" s="61"/>
    </row>
    <row r="344" customFormat="false" ht="15" hidden="false" customHeight="true" outlineLevel="0" collapsed="false">
      <c r="B344" s="34" t="s">
        <v>217</v>
      </c>
      <c r="C344" s="62" t="s">
        <v>309</v>
      </c>
    </row>
    <row r="345" customFormat="false" ht="15" hidden="false" customHeight="true" outlineLevel="0" collapsed="false">
      <c r="B345" s="34" t="s">
        <v>184</v>
      </c>
      <c r="C345" s="62" t="s">
        <v>694</v>
      </c>
    </row>
    <row r="346" customFormat="false" ht="15" hidden="false" customHeight="true" outlineLevel="0" collapsed="false">
      <c r="B346" s="34" t="s">
        <v>587</v>
      </c>
      <c r="C346" s="62" t="s">
        <v>695</v>
      </c>
    </row>
    <row r="347" customFormat="false" ht="15" hidden="false" customHeight="true" outlineLevel="0" collapsed="false">
      <c r="B347" s="34" t="s">
        <v>220</v>
      </c>
      <c r="C347" s="62" t="s">
        <v>310</v>
      </c>
    </row>
    <row r="348" customFormat="false" ht="15" hidden="false" customHeight="true" outlineLevel="0" collapsed="false">
      <c r="B348" s="34" t="s">
        <v>589</v>
      </c>
      <c r="C348" s="62" t="s">
        <v>289</v>
      </c>
    </row>
    <row r="349" customFormat="false" ht="23.25" hidden="false" customHeight="true" outlineLevel="0" collapsed="false">
      <c r="B349" s="34" t="s">
        <v>223</v>
      </c>
      <c r="C349" s="62" t="s">
        <v>311</v>
      </c>
    </row>
    <row r="350" customFormat="false" ht="23.25" hidden="false" customHeight="true" outlineLevel="0" collapsed="false">
      <c r="B350" s="34" t="s">
        <v>224</v>
      </c>
      <c r="C350" s="62" t="s">
        <v>312</v>
      </c>
    </row>
    <row r="351" customFormat="false" ht="34.5" hidden="false" customHeight="true" outlineLevel="0" collapsed="false">
      <c r="B351" s="34" t="s">
        <v>225</v>
      </c>
      <c r="C351" s="62" t="s">
        <v>696</v>
      </c>
    </row>
    <row r="352" customFormat="false" ht="23.25" hidden="false" customHeight="true" outlineLevel="0" collapsed="false">
      <c r="B352" s="34" t="s">
        <v>226</v>
      </c>
      <c r="C352" s="62" t="s">
        <v>314</v>
      </c>
    </row>
    <row r="353" customFormat="false" ht="15" hidden="false" customHeight="true" outlineLevel="0" collapsed="false">
      <c r="B353" s="36"/>
      <c r="C353" s="62"/>
    </row>
    <row r="354" customFormat="false" ht="23.25" hidden="false" customHeight="true" outlineLevel="0" collapsed="false">
      <c r="B354" s="63" t="s">
        <v>593</v>
      </c>
      <c r="C354" s="62" t="s">
        <v>557</v>
      </c>
    </row>
    <row r="355" customFormat="false" ht="45.75" hidden="false" customHeight="true" outlineLevel="0" collapsed="false">
      <c r="B355" s="63" t="s">
        <v>594</v>
      </c>
      <c r="C355" s="62" t="s">
        <v>556</v>
      </c>
    </row>
    <row r="356" customFormat="false" ht="23.25" hidden="false" customHeight="true" outlineLevel="0" collapsed="false">
      <c r="B356" s="63" t="s">
        <v>595</v>
      </c>
      <c r="C356" s="62" t="s">
        <v>697</v>
      </c>
    </row>
    <row r="357" customFormat="false" ht="15" hidden="false" customHeight="true" outlineLevel="0" collapsed="false">
      <c r="B357" s="36"/>
      <c r="C357" s="62"/>
    </row>
    <row r="358" customFormat="false" ht="15" hidden="false" customHeight="true" outlineLevel="0" collapsed="false">
      <c r="B358" s="63" t="s">
        <v>597</v>
      </c>
      <c r="C358" s="62"/>
    </row>
    <row r="359" customFormat="false" ht="15" hidden="false" customHeight="true" outlineLevel="0" collapsed="false">
      <c r="B359" s="34" t="s">
        <v>168</v>
      </c>
      <c r="C359" s="64" t="s">
        <v>642</v>
      </c>
    </row>
    <row r="360" customFormat="false" ht="15" hidden="false" customHeight="true" outlineLevel="0" collapsed="false">
      <c r="B360" s="34" t="s">
        <v>169</v>
      </c>
      <c r="C360" s="64" t="s">
        <v>643</v>
      </c>
    </row>
    <row r="361" customFormat="false" ht="15" hidden="false" customHeight="true" outlineLevel="0" collapsed="false">
      <c r="B361" s="36"/>
      <c r="C361" s="62"/>
    </row>
    <row r="362" customFormat="false" ht="15" hidden="false" customHeight="true" outlineLevel="0" collapsed="false">
      <c r="B362" s="63" t="s">
        <v>600</v>
      </c>
      <c r="C362" s="62"/>
    </row>
    <row r="363" customFormat="false" ht="23.25" hidden="false" customHeight="true" outlineLevel="0" collapsed="false">
      <c r="B363" s="36"/>
      <c r="C363" s="62" t="s">
        <v>680</v>
      </c>
    </row>
    <row r="364" customFormat="false" ht="15" hidden="false" customHeight="true" outlineLevel="0" collapsed="false">
      <c r="B364" s="36"/>
      <c r="C364" s="62" t="s">
        <v>681</v>
      </c>
    </row>
    <row r="365" customFormat="false" ht="23.25" hidden="false" customHeight="true" outlineLevel="0" collapsed="false">
      <c r="B365" s="36"/>
      <c r="C365" s="62" t="s">
        <v>682</v>
      </c>
    </row>
    <row r="366" customFormat="false" ht="23.25" hidden="false" customHeight="true" outlineLevel="0" collapsed="false">
      <c r="B366" s="36"/>
      <c r="C366" s="62" t="s">
        <v>683</v>
      </c>
    </row>
    <row r="367" customFormat="false" ht="23.25" hidden="false" customHeight="true" outlineLevel="0" collapsed="false">
      <c r="B367" s="36"/>
      <c r="C367" s="62" t="s">
        <v>684</v>
      </c>
    </row>
    <row r="368" customFormat="false" ht="15" hidden="false" customHeight="true" outlineLevel="0" collapsed="false">
      <c r="B368" s="36"/>
      <c r="C368" s="62" t="s">
        <v>685</v>
      </c>
    </row>
    <row r="369" customFormat="false" ht="23.25" hidden="false" customHeight="true" outlineLevel="0" collapsed="false">
      <c r="B369" s="36"/>
      <c r="C369" s="62" t="s">
        <v>686</v>
      </c>
    </row>
    <row r="370" customFormat="false" ht="23.25" hidden="false" customHeight="true" outlineLevel="0" collapsed="false">
      <c r="B370" s="36"/>
      <c r="C370" s="62" t="s">
        <v>687</v>
      </c>
    </row>
    <row r="371" customFormat="false" ht="15" hidden="false" customHeight="true" outlineLevel="0" collapsed="false">
      <c r="B371" s="36"/>
      <c r="C371" s="62"/>
    </row>
    <row r="373" customFormat="false" ht="15" hidden="false" customHeight="true" outlineLevel="0" collapsed="false">
      <c r="B373" s="61" t="s">
        <v>698</v>
      </c>
      <c r="C373" s="61"/>
    </row>
    <row r="374" customFormat="false" ht="15" hidden="false" customHeight="true" outlineLevel="0" collapsed="false">
      <c r="B374" s="34" t="s">
        <v>217</v>
      </c>
      <c r="C374" s="62" t="s">
        <v>316</v>
      </c>
    </row>
    <row r="375" customFormat="false" ht="15" hidden="false" customHeight="true" outlineLevel="0" collapsed="false">
      <c r="B375" s="34" t="s">
        <v>184</v>
      </c>
      <c r="C375" s="62" t="s">
        <v>319</v>
      </c>
    </row>
    <row r="376" customFormat="false" ht="15" hidden="false" customHeight="true" outlineLevel="0" collapsed="false">
      <c r="B376" s="34" t="s">
        <v>587</v>
      </c>
      <c r="C376" s="62" t="s">
        <v>699</v>
      </c>
    </row>
    <row r="377" customFormat="false" ht="15" hidden="false" customHeight="true" outlineLevel="0" collapsed="false">
      <c r="B377" s="34" t="s">
        <v>220</v>
      </c>
      <c r="C377" s="62" t="s">
        <v>317</v>
      </c>
    </row>
    <row r="378" customFormat="false" ht="15" hidden="false" customHeight="true" outlineLevel="0" collapsed="false">
      <c r="B378" s="34" t="s">
        <v>589</v>
      </c>
      <c r="C378" s="62" t="s">
        <v>318</v>
      </c>
    </row>
    <row r="379" customFormat="false" ht="23.25" hidden="false" customHeight="true" outlineLevel="0" collapsed="false">
      <c r="B379" s="34" t="s">
        <v>223</v>
      </c>
      <c r="C379" s="62" t="s">
        <v>320</v>
      </c>
    </row>
    <row r="380" customFormat="false" ht="15" hidden="false" customHeight="true" outlineLevel="0" collapsed="false">
      <c r="B380" s="34" t="s">
        <v>224</v>
      </c>
      <c r="C380" s="62" t="s">
        <v>321</v>
      </c>
    </row>
    <row r="381" customFormat="false" ht="23.25" hidden="false" customHeight="true" outlineLevel="0" collapsed="false">
      <c r="B381" s="34" t="s">
        <v>225</v>
      </c>
      <c r="C381" s="62" t="s">
        <v>700</v>
      </c>
    </row>
    <row r="382" customFormat="false" ht="23.25" hidden="false" customHeight="true" outlineLevel="0" collapsed="false">
      <c r="B382" s="34" t="s">
        <v>226</v>
      </c>
      <c r="C382" s="62" t="s">
        <v>701</v>
      </c>
    </row>
    <row r="383" customFormat="false" ht="15" hidden="false" customHeight="true" outlineLevel="0" collapsed="false">
      <c r="B383" s="36"/>
      <c r="C383" s="62"/>
    </row>
    <row r="384" customFormat="false" ht="23.25" hidden="false" customHeight="true" outlineLevel="0" collapsed="false">
      <c r="B384" s="63" t="s">
        <v>593</v>
      </c>
      <c r="C384" s="62" t="s">
        <v>557</v>
      </c>
    </row>
    <row r="385" customFormat="false" ht="45.75" hidden="false" customHeight="true" outlineLevel="0" collapsed="false">
      <c r="B385" s="63" t="s">
        <v>594</v>
      </c>
      <c r="C385" s="62" t="s">
        <v>556</v>
      </c>
    </row>
    <row r="386" customFormat="false" ht="23.25" hidden="false" customHeight="true" outlineLevel="0" collapsed="false">
      <c r="B386" s="63" t="s">
        <v>595</v>
      </c>
      <c r="C386" s="62" t="s">
        <v>697</v>
      </c>
    </row>
    <row r="387" customFormat="false" ht="15" hidden="false" customHeight="true" outlineLevel="0" collapsed="false">
      <c r="B387" s="36"/>
      <c r="C387" s="62"/>
    </row>
    <row r="388" customFormat="false" ht="15" hidden="false" customHeight="true" outlineLevel="0" collapsed="false">
      <c r="B388" s="63" t="s">
        <v>597</v>
      </c>
      <c r="C388" s="62"/>
    </row>
    <row r="389" customFormat="false" ht="15" hidden="false" customHeight="true" outlineLevel="0" collapsed="false">
      <c r="B389" s="34" t="s">
        <v>168</v>
      </c>
      <c r="C389" s="64" t="s">
        <v>702</v>
      </c>
    </row>
    <row r="390" customFormat="false" ht="15" hidden="false" customHeight="true" outlineLevel="0" collapsed="false">
      <c r="B390" s="34" t="s">
        <v>169</v>
      </c>
      <c r="C390" s="64" t="s">
        <v>702</v>
      </c>
    </row>
    <row r="391" customFormat="false" ht="15" hidden="false" customHeight="true" outlineLevel="0" collapsed="false">
      <c r="B391" s="36"/>
      <c r="C391" s="62"/>
    </row>
    <row r="392" customFormat="false" ht="15" hidden="false" customHeight="true" outlineLevel="0" collapsed="false">
      <c r="B392" s="63" t="s">
        <v>600</v>
      </c>
      <c r="C392" s="62"/>
    </row>
    <row r="393" customFormat="false" ht="23.25" hidden="false" customHeight="true" outlineLevel="0" collapsed="false">
      <c r="B393" s="36"/>
      <c r="C393" s="62" t="s">
        <v>601</v>
      </c>
    </row>
    <row r="394" customFormat="false" ht="23.25" hidden="false" customHeight="true" outlineLevel="0" collapsed="false">
      <c r="B394" s="36"/>
      <c r="C394" s="62" t="s">
        <v>602</v>
      </c>
    </row>
    <row r="395" customFormat="false" ht="23.25" hidden="false" customHeight="true" outlineLevel="0" collapsed="false">
      <c r="B395" s="36"/>
      <c r="C395" s="62" t="s">
        <v>603</v>
      </c>
    </row>
    <row r="396" customFormat="false" ht="23.25" hidden="false" customHeight="true" outlineLevel="0" collapsed="false">
      <c r="B396" s="36"/>
      <c r="C396" s="62" t="s">
        <v>604</v>
      </c>
    </row>
    <row r="397" customFormat="false" ht="23.25" hidden="false" customHeight="true" outlineLevel="0" collapsed="false">
      <c r="B397" s="36"/>
      <c r="C397" s="62" t="s">
        <v>605</v>
      </c>
    </row>
    <row r="398" customFormat="false" ht="23.25" hidden="false" customHeight="true" outlineLevel="0" collapsed="false">
      <c r="B398" s="36"/>
      <c r="C398" s="62" t="s">
        <v>606</v>
      </c>
    </row>
    <row r="399" customFormat="false" ht="15" hidden="false" customHeight="true" outlineLevel="0" collapsed="false">
      <c r="B399" s="36"/>
      <c r="C399" s="62" t="s">
        <v>607</v>
      </c>
    </row>
    <row r="400" customFormat="false" ht="23.25" hidden="false" customHeight="true" outlineLevel="0" collapsed="false">
      <c r="B400" s="36"/>
      <c r="C400" s="62" t="s">
        <v>608</v>
      </c>
    </row>
    <row r="401" customFormat="false" ht="23.25" hidden="false" customHeight="true" outlineLevel="0" collapsed="false">
      <c r="B401" s="36"/>
      <c r="C401" s="62" t="s">
        <v>609</v>
      </c>
    </row>
    <row r="402" customFormat="false" ht="15" hidden="false" customHeight="true" outlineLevel="0" collapsed="false">
      <c r="B402" s="36"/>
      <c r="C402" s="62"/>
    </row>
    <row r="404" customFormat="false" ht="15" hidden="false" customHeight="true" outlineLevel="0" collapsed="false">
      <c r="B404" s="61" t="s">
        <v>703</v>
      </c>
      <c r="C404" s="61"/>
    </row>
    <row r="405" customFormat="false" ht="15" hidden="false" customHeight="true" outlineLevel="0" collapsed="false">
      <c r="B405" s="34" t="s">
        <v>217</v>
      </c>
      <c r="C405" s="62" t="s">
        <v>325</v>
      </c>
    </row>
    <row r="406" customFormat="false" ht="15" hidden="false" customHeight="true" outlineLevel="0" collapsed="false">
      <c r="B406" s="34" t="s">
        <v>184</v>
      </c>
      <c r="C406" s="62" t="s">
        <v>704</v>
      </c>
    </row>
    <row r="407" customFormat="false" ht="15" hidden="false" customHeight="true" outlineLevel="0" collapsed="false">
      <c r="B407" s="34" t="s">
        <v>587</v>
      </c>
      <c r="C407" s="62" t="s">
        <v>705</v>
      </c>
    </row>
    <row r="408" customFormat="false" ht="15" hidden="false" customHeight="true" outlineLevel="0" collapsed="false">
      <c r="B408" s="34" t="s">
        <v>220</v>
      </c>
      <c r="C408" s="62" t="s">
        <v>326</v>
      </c>
    </row>
    <row r="409" customFormat="false" ht="15" hidden="false" customHeight="true" outlineLevel="0" collapsed="false">
      <c r="B409" s="34" t="s">
        <v>589</v>
      </c>
      <c r="C409" s="62" t="s">
        <v>289</v>
      </c>
    </row>
    <row r="410" customFormat="false" ht="23.25" hidden="false" customHeight="true" outlineLevel="0" collapsed="false">
      <c r="B410" s="34" t="s">
        <v>223</v>
      </c>
      <c r="C410" s="62" t="s">
        <v>706</v>
      </c>
    </row>
    <row r="411" customFormat="false" ht="23.25" hidden="false" customHeight="true" outlineLevel="0" collapsed="false">
      <c r="B411" s="34" t="s">
        <v>224</v>
      </c>
      <c r="C411" s="62" t="s">
        <v>328</v>
      </c>
    </row>
    <row r="412" customFormat="false" ht="23.25" hidden="false" customHeight="true" outlineLevel="0" collapsed="false">
      <c r="B412" s="34" t="s">
        <v>225</v>
      </c>
      <c r="C412" s="62" t="s">
        <v>707</v>
      </c>
    </row>
    <row r="413" customFormat="false" ht="15" hidden="false" customHeight="true" outlineLevel="0" collapsed="false">
      <c r="B413" s="34" t="s">
        <v>226</v>
      </c>
      <c r="C413" s="62" t="s">
        <v>330</v>
      </c>
    </row>
    <row r="414" customFormat="false" ht="15" hidden="false" customHeight="true" outlineLevel="0" collapsed="false">
      <c r="B414" s="36"/>
      <c r="C414" s="62"/>
    </row>
    <row r="415" customFormat="false" ht="34.5" hidden="false" customHeight="true" outlineLevel="0" collapsed="false">
      <c r="B415" s="63" t="s">
        <v>593</v>
      </c>
      <c r="C415" s="62" t="s">
        <v>553</v>
      </c>
    </row>
    <row r="416" customFormat="false" ht="45.75" hidden="false" customHeight="true" outlineLevel="0" collapsed="false">
      <c r="B416" s="63" t="s">
        <v>594</v>
      </c>
      <c r="C416" s="62" t="s">
        <v>556</v>
      </c>
    </row>
    <row r="417" customFormat="false" ht="23.25" hidden="false" customHeight="true" outlineLevel="0" collapsed="false">
      <c r="B417" s="63" t="s">
        <v>595</v>
      </c>
      <c r="C417" s="62" t="s">
        <v>641</v>
      </c>
    </row>
    <row r="418" customFormat="false" ht="15" hidden="false" customHeight="true" outlineLevel="0" collapsed="false">
      <c r="B418" s="36"/>
      <c r="C418" s="62"/>
    </row>
    <row r="419" customFormat="false" ht="15" hidden="false" customHeight="true" outlineLevel="0" collapsed="false">
      <c r="B419" s="63" t="s">
        <v>597</v>
      </c>
      <c r="C419" s="62"/>
    </row>
    <row r="420" customFormat="false" ht="15" hidden="false" customHeight="true" outlineLevel="0" collapsed="false">
      <c r="B420" s="34" t="s">
        <v>168</v>
      </c>
      <c r="C420" s="64" t="s">
        <v>642</v>
      </c>
    </row>
    <row r="421" customFormat="false" ht="15" hidden="false" customHeight="true" outlineLevel="0" collapsed="false">
      <c r="B421" s="34" t="s">
        <v>169</v>
      </c>
      <c r="C421" s="64" t="s">
        <v>643</v>
      </c>
    </row>
    <row r="422" customFormat="false" ht="15" hidden="false" customHeight="true" outlineLevel="0" collapsed="false">
      <c r="B422" s="36"/>
      <c r="C422" s="62"/>
    </row>
    <row r="423" customFormat="false" ht="15" hidden="false" customHeight="true" outlineLevel="0" collapsed="false">
      <c r="B423" s="63" t="s">
        <v>600</v>
      </c>
      <c r="C423" s="62"/>
    </row>
    <row r="424" customFormat="false" ht="23.25" hidden="false" customHeight="true" outlineLevel="0" collapsed="false">
      <c r="B424" s="36"/>
      <c r="C424" s="62" t="s">
        <v>680</v>
      </c>
    </row>
    <row r="425" customFormat="false" ht="15" hidden="false" customHeight="true" outlineLevel="0" collapsed="false">
      <c r="B425" s="36"/>
      <c r="C425" s="62" t="s">
        <v>681</v>
      </c>
    </row>
    <row r="426" customFormat="false" ht="23.25" hidden="false" customHeight="true" outlineLevel="0" collapsed="false">
      <c r="B426" s="36"/>
      <c r="C426" s="62" t="s">
        <v>682</v>
      </c>
    </row>
    <row r="427" customFormat="false" ht="23.25" hidden="false" customHeight="true" outlineLevel="0" collapsed="false">
      <c r="B427" s="36"/>
      <c r="C427" s="62" t="s">
        <v>683</v>
      </c>
    </row>
    <row r="428" customFormat="false" ht="23.25" hidden="false" customHeight="true" outlineLevel="0" collapsed="false">
      <c r="B428" s="36"/>
      <c r="C428" s="62" t="s">
        <v>684</v>
      </c>
    </row>
    <row r="429" customFormat="false" ht="15" hidden="false" customHeight="true" outlineLevel="0" collapsed="false">
      <c r="B429" s="36"/>
      <c r="C429" s="62" t="s">
        <v>685</v>
      </c>
    </row>
    <row r="430" customFormat="false" ht="23.25" hidden="false" customHeight="true" outlineLevel="0" collapsed="false">
      <c r="B430" s="36"/>
      <c r="C430" s="62" t="s">
        <v>686</v>
      </c>
    </row>
    <row r="431" customFormat="false" ht="23.25" hidden="false" customHeight="true" outlineLevel="0" collapsed="false">
      <c r="B431" s="36"/>
      <c r="C431" s="62" t="s">
        <v>687</v>
      </c>
    </row>
    <row r="432" customFormat="false" ht="15" hidden="false" customHeight="true" outlineLevel="0" collapsed="false">
      <c r="B432" s="36"/>
      <c r="C432" s="62"/>
    </row>
    <row r="434" customFormat="false" ht="15" hidden="false" customHeight="true" outlineLevel="0" collapsed="false">
      <c r="B434" s="61" t="s">
        <v>708</v>
      </c>
      <c r="C434" s="61"/>
    </row>
    <row r="435" customFormat="false" ht="15" hidden="false" customHeight="true" outlineLevel="0" collapsed="false">
      <c r="B435" s="34" t="s">
        <v>217</v>
      </c>
      <c r="C435" s="62" t="s">
        <v>332</v>
      </c>
    </row>
    <row r="436" customFormat="false" ht="15" hidden="false" customHeight="true" outlineLevel="0" collapsed="false">
      <c r="B436" s="34" t="s">
        <v>184</v>
      </c>
      <c r="C436" s="62" t="s">
        <v>709</v>
      </c>
    </row>
    <row r="437" customFormat="false" ht="15" hidden="false" customHeight="true" outlineLevel="0" collapsed="false">
      <c r="B437" s="34" t="s">
        <v>587</v>
      </c>
      <c r="C437" s="62" t="s">
        <v>710</v>
      </c>
    </row>
    <row r="438" customFormat="false" ht="68.25" hidden="false" customHeight="true" outlineLevel="0" collapsed="false">
      <c r="B438" s="34" t="s">
        <v>220</v>
      </c>
      <c r="C438" s="62" t="s">
        <v>333</v>
      </c>
    </row>
    <row r="439" customFormat="false" ht="15" hidden="false" customHeight="true" outlineLevel="0" collapsed="false">
      <c r="B439" s="34" t="s">
        <v>589</v>
      </c>
      <c r="C439" s="62" t="s">
        <v>230</v>
      </c>
    </row>
    <row r="440" customFormat="false" ht="34.5" hidden="false" customHeight="true" outlineLevel="0" collapsed="false">
      <c r="B440" s="34" t="s">
        <v>223</v>
      </c>
      <c r="C440" s="62" t="s">
        <v>711</v>
      </c>
    </row>
    <row r="441" customFormat="false" ht="34.5" hidden="false" customHeight="true" outlineLevel="0" collapsed="false">
      <c r="B441" s="34" t="s">
        <v>224</v>
      </c>
      <c r="C441" s="62" t="s">
        <v>712</v>
      </c>
    </row>
    <row r="442" customFormat="false" ht="34.5" hidden="false" customHeight="true" outlineLevel="0" collapsed="false">
      <c r="B442" s="34" t="s">
        <v>225</v>
      </c>
      <c r="C442" s="62" t="s">
        <v>713</v>
      </c>
    </row>
    <row r="443" customFormat="false" ht="23.25" hidden="false" customHeight="true" outlineLevel="0" collapsed="false">
      <c r="B443" s="34" t="s">
        <v>226</v>
      </c>
      <c r="C443" s="62" t="s">
        <v>714</v>
      </c>
    </row>
    <row r="444" customFormat="false" ht="15" hidden="false" customHeight="true" outlineLevel="0" collapsed="false">
      <c r="B444" s="36"/>
      <c r="C444" s="62"/>
    </row>
    <row r="445" customFormat="false" ht="34.5" hidden="false" customHeight="true" outlineLevel="0" collapsed="false">
      <c r="B445" s="63" t="s">
        <v>593</v>
      </c>
      <c r="C445" s="62" t="s">
        <v>553</v>
      </c>
    </row>
    <row r="446" customFormat="false" ht="34.5" hidden="false" customHeight="true" outlineLevel="0" collapsed="false">
      <c r="B446" s="63" t="s">
        <v>594</v>
      </c>
      <c r="C446" s="62" t="s">
        <v>559</v>
      </c>
    </row>
    <row r="447" customFormat="false" ht="23.25" hidden="false" customHeight="true" outlineLevel="0" collapsed="false">
      <c r="B447" s="63" t="s">
        <v>595</v>
      </c>
      <c r="C447" s="62" t="s">
        <v>641</v>
      </c>
    </row>
    <row r="448" customFormat="false" ht="15" hidden="false" customHeight="true" outlineLevel="0" collapsed="false">
      <c r="B448" s="36"/>
      <c r="C448" s="62"/>
    </row>
    <row r="449" customFormat="false" ht="15" hidden="false" customHeight="true" outlineLevel="0" collapsed="false">
      <c r="B449" s="63" t="s">
        <v>597</v>
      </c>
      <c r="C449" s="62"/>
    </row>
    <row r="450" customFormat="false" ht="15" hidden="false" customHeight="true" outlineLevel="0" collapsed="false">
      <c r="B450" s="34" t="s">
        <v>168</v>
      </c>
      <c r="C450" s="64" t="s">
        <v>715</v>
      </c>
    </row>
    <row r="451" customFormat="false" ht="15" hidden="false" customHeight="true" outlineLevel="0" collapsed="false">
      <c r="B451" s="34" t="s">
        <v>169</v>
      </c>
      <c r="C451" s="64" t="s">
        <v>716</v>
      </c>
    </row>
    <row r="452" customFormat="false" ht="15" hidden="false" customHeight="true" outlineLevel="0" collapsed="false">
      <c r="B452" s="36"/>
      <c r="C452" s="62"/>
    </row>
    <row r="453" customFormat="false" ht="15" hidden="false" customHeight="true" outlineLevel="0" collapsed="false">
      <c r="B453" s="63" t="s">
        <v>600</v>
      </c>
      <c r="C453" s="62"/>
    </row>
    <row r="454" customFormat="false" ht="23.25" hidden="false" customHeight="true" outlineLevel="0" collapsed="false">
      <c r="B454" s="36"/>
      <c r="C454" s="62" t="s">
        <v>601</v>
      </c>
    </row>
    <row r="455" customFormat="false" ht="23.25" hidden="false" customHeight="true" outlineLevel="0" collapsed="false">
      <c r="B455" s="36"/>
      <c r="C455" s="62" t="s">
        <v>602</v>
      </c>
    </row>
    <row r="456" customFormat="false" ht="23.25" hidden="false" customHeight="true" outlineLevel="0" collapsed="false">
      <c r="B456" s="36"/>
      <c r="C456" s="62" t="s">
        <v>603</v>
      </c>
    </row>
    <row r="457" customFormat="false" ht="23.25" hidden="false" customHeight="true" outlineLevel="0" collapsed="false">
      <c r="B457" s="36"/>
      <c r="C457" s="62" t="s">
        <v>604</v>
      </c>
    </row>
    <row r="458" customFormat="false" ht="23.25" hidden="false" customHeight="true" outlineLevel="0" collapsed="false">
      <c r="B458" s="36"/>
      <c r="C458" s="62" t="s">
        <v>605</v>
      </c>
    </row>
    <row r="459" customFormat="false" ht="23.25" hidden="false" customHeight="true" outlineLevel="0" collapsed="false">
      <c r="B459" s="36"/>
      <c r="C459" s="62" t="s">
        <v>606</v>
      </c>
    </row>
    <row r="460" customFormat="false" ht="15" hidden="false" customHeight="true" outlineLevel="0" collapsed="false">
      <c r="B460" s="36"/>
      <c r="C460" s="62" t="s">
        <v>607</v>
      </c>
    </row>
    <row r="461" customFormat="false" ht="23.25" hidden="false" customHeight="true" outlineLevel="0" collapsed="false">
      <c r="B461" s="36"/>
      <c r="C461" s="62" t="s">
        <v>608</v>
      </c>
    </row>
    <row r="462" customFormat="false" ht="23.25" hidden="false" customHeight="true" outlineLevel="0" collapsed="false">
      <c r="B462" s="36"/>
      <c r="C462" s="62" t="s">
        <v>609</v>
      </c>
    </row>
    <row r="463" customFormat="false" ht="15" hidden="false" customHeight="true" outlineLevel="0" collapsed="false">
      <c r="B463" s="36"/>
      <c r="C463" s="62"/>
    </row>
  </sheetData>
  <mergeCells count="16">
    <mergeCell ref="B2:C2"/>
    <mergeCell ref="B4:C4"/>
    <mergeCell ref="B35:C35"/>
    <mergeCell ref="B66:C66"/>
    <mergeCell ref="B97:C97"/>
    <mergeCell ref="B128:C128"/>
    <mergeCell ref="B159:C159"/>
    <mergeCell ref="B190:C190"/>
    <mergeCell ref="B221:C221"/>
    <mergeCell ref="B252:C252"/>
    <mergeCell ref="B283:C283"/>
    <mergeCell ref="B313:C313"/>
    <mergeCell ref="B343:C343"/>
    <mergeCell ref="B373:C373"/>
    <mergeCell ref="B404:C404"/>
    <mergeCell ref="B434:C4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30" width="28"/>
    <col collapsed="false" customWidth="true" hidden="false" outlineLevel="0" max="2" min="2" style="30" width="8"/>
    <col collapsed="false" customWidth="true" hidden="false" outlineLevel="0" max="3" min="3" style="30" width="35"/>
    <col collapsed="false" customWidth="true" hidden="false" outlineLevel="0" max="4" min="4" style="30" width="40"/>
    <col collapsed="false" customWidth="true" hidden="false" outlineLevel="0" max="6" min="5" style="30" width="50"/>
  </cols>
  <sheetData>
    <row r="1" customFormat="false" ht="15" hidden="false" customHeight="true" outlineLevel="0" collapsed="false">
      <c r="A1" s="65" t="s">
        <v>2</v>
      </c>
      <c r="B1" s="65" t="s">
        <v>3</v>
      </c>
      <c r="C1" s="65" t="s">
        <v>217</v>
      </c>
      <c r="D1" s="65" t="s">
        <v>717</v>
      </c>
      <c r="E1" s="65" t="s">
        <v>223</v>
      </c>
      <c r="F1" s="65" t="s">
        <v>718</v>
      </c>
    </row>
    <row r="2" customFormat="false" ht="34.5" hidden="false" customHeight="true" outlineLevel="0" collapsed="false">
      <c r="A2" s="50" t="s">
        <v>491</v>
      </c>
      <c r="B2" s="50" t="s">
        <v>20</v>
      </c>
      <c r="C2" s="50" t="s">
        <v>492</v>
      </c>
      <c r="D2" s="50" t="s">
        <v>719</v>
      </c>
      <c r="E2" s="50" t="s">
        <v>494</v>
      </c>
      <c r="F2" s="50" t="s">
        <v>720</v>
      </c>
    </row>
    <row r="3" customFormat="false" ht="34.5" hidden="false" customHeight="true" outlineLevel="0" collapsed="false">
      <c r="A3" s="50" t="s">
        <v>499</v>
      </c>
      <c r="B3" s="50" t="s">
        <v>20</v>
      </c>
      <c r="C3" s="50" t="s">
        <v>500</v>
      </c>
      <c r="D3" s="50" t="s">
        <v>721</v>
      </c>
      <c r="E3" s="50" t="s">
        <v>502</v>
      </c>
      <c r="F3" s="50" t="s">
        <v>722</v>
      </c>
    </row>
    <row r="4" customFormat="false" ht="34.5" hidden="false" customHeight="true" outlineLevel="0" collapsed="false">
      <c r="A4" s="50" t="s">
        <v>507</v>
      </c>
      <c r="B4" s="50" t="s">
        <v>20</v>
      </c>
      <c r="C4" s="50" t="s">
        <v>508</v>
      </c>
      <c r="D4" s="50" t="s">
        <v>721</v>
      </c>
      <c r="E4" s="50" t="s">
        <v>510</v>
      </c>
      <c r="F4" s="50" t="s">
        <v>723</v>
      </c>
    </row>
    <row r="5" customFormat="false" ht="34.5" hidden="false" customHeight="true" outlineLevel="0" collapsed="false">
      <c r="A5" s="50" t="s">
        <v>515</v>
      </c>
      <c r="B5" s="50" t="s">
        <v>20</v>
      </c>
      <c r="C5" s="50" t="s">
        <v>516</v>
      </c>
      <c r="D5" s="50" t="s">
        <v>721</v>
      </c>
      <c r="E5" s="50" t="s">
        <v>518</v>
      </c>
      <c r="F5" s="50" t="s">
        <v>724</v>
      </c>
    </row>
    <row r="6" customFormat="false" ht="34.5" hidden="false" customHeight="true" outlineLevel="0" collapsed="false">
      <c r="A6" s="50" t="s">
        <v>523</v>
      </c>
      <c r="B6" s="50" t="s">
        <v>20</v>
      </c>
      <c r="C6" s="50" t="s">
        <v>524</v>
      </c>
      <c r="D6" s="50" t="s">
        <v>725</v>
      </c>
      <c r="E6" s="50" t="s">
        <v>526</v>
      </c>
      <c r="F6" s="50" t="s">
        <v>726</v>
      </c>
    </row>
    <row r="7" customFormat="false" ht="34.5" hidden="false" customHeight="true" outlineLevel="0" collapsed="false">
      <c r="A7" s="50" t="s">
        <v>529</v>
      </c>
      <c r="B7" s="50" t="s">
        <v>20</v>
      </c>
      <c r="C7" s="50" t="s">
        <v>530</v>
      </c>
      <c r="D7" s="50" t="s">
        <v>725</v>
      </c>
      <c r="E7" s="50" t="s">
        <v>532</v>
      </c>
      <c r="F7" s="50" t="s">
        <v>727</v>
      </c>
    </row>
    <row r="8" customFormat="false" ht="34.5" hidden="false" customHeight="true" outlineLevel="0" collapsed="false">
      <c r="A8" s="50" t="s">
        <v>537</v>
      </c>
      <c r="B8" s="50" t="s">
        <v>20</v>
      </c>
      <c r="C8" s="50" t="s">
        <v>538</v>
      </c>
      <c r="D8" s="50" t="s">
        <v>728</v>
      </c>
      <c r="E8" s="50" t="s">
        <v>540</v>
      </c>
      <c r="F8" s="50" t="s">
        <v>729</v>
      </c>
    </row>
    <row r="9" customFormat="false" ht="34.5" hidden="false" customHeight="true" outlineLevel="0" collapsed="false">
      <c r="A9" s="50" t="s">
        <v>544</v>
      </c>
      <c r="B9" s="50" t="s">
        <v>15</v>
      </c>
      <c r="C9" s="50" t="s">
        <v>545</v>
      </c>
      <c r="D9" s="50" t="s">
        <v>730</v>
      </c>
      <c r="E9" s="50" t="s">
        <v>546</v>
      </c>
      <c r="F9" s="50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2026-03-04T15:21:31Z</dcterms:created>
  <dc:creator>openpyxl</dc:creator>
  <dc:description/>
  <dc:language>en-US</dc:language>
  <cp:lastModifiedBy/>
  <dcterms:modified xsi:type="dcterms:W3CDTF">2026-03-04T18:58:21Z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